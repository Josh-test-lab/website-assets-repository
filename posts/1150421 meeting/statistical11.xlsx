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github\local storage\final11\"/>
    </mc:Choice>
  </mc:AlternateContent>
  <xr:revisionPtr revIDLastSave="0" documentId="13_ncr:1_{43A67936-77CD-4372-9910-44A79355E69F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J34" i="1" l="1"/>
  <c r="CI34" i="1"/>
  <c r="CH34" i="1"/>
  <c r="CG34" i="1"/>
  <c r="CF34" i="1"/>
  <c r="CE34" i="1"/>
  <c r="EP37" i="1" l="1"/>
  <c r="EO37" i="1"/>
  <c r="EN37" i="1"/>
  <c r="EM37" i="1"/>
  <c r="EL37" i="1"/>
  <c r="EK37" i="1"/>
  <c r="EH37" i="1"/>
  <c r="EG37" i="1"/>
  <c r="EF37" i="1"/>
  <c r="EE37" i="1"/>
  <c r="ED37" i="1"/>
  <c r="EC37" i="1"/>
  <c r="DZ37" i="1"/>
  <c r="DY37" i="1"/>
  <c r="DX37" i="1"/>
  <c r="DW37" i="1"/>
  <c r="DV37" i="1"/>
  <c r="DU37" i="1"/>
  <c r="EP36" i="1"/>
  <c r="EO36" i="1"/>
  <c r="EN36" i="1"/>
  <c r="EM36" i="1"/>
  <c r="EL36" i="1"/>
  <c r="EK36" i="1"/>
  <c r="EH36" i="1"/>
  <c r="EG36" i="1"/>
  <c r="EF36" i="1"/>
  <c r="EE36" i="1"/>
  <c r="ED36" i="1"/>
  <c r="EC36" i="1"/>
  <c r="DZ36" i="1"/>
  <c r="DY36" i="1"/>
  <c r="DX36" i="1"/>
  <c r="DW36" i="1"/>
  <c r="DV36" i="1"/>
  <c r="DU36" i="1"/>
  <c r="EP35" i="1"/>
  <c r="EO35" i="1"/>
  <c r="EN35" i="1"/>
  <c r="EM35" i="1"/>
  <c r="EL35" i="1"/>
  <c r="EK35" i="1"/>
  <c r="EH35" i="1"/>
  <c r="EG35" i="1"/>
  <c r="EF35" i="1"/>
  <c r="EE35" i="1"/>
  <c r="ED35" i="1"/>
  <c r="EC35" i="1"/>
  <c r="DZ35" i="1"/>
  <c r="DY35" i="1"/>
  <c r="DX35" i="1"/>
  <c r="DW35" i="1"/>
  <c r="DV35" i="1"/>
  <c r="DU35" i="1"/>
  <c r="EP34" i="1"/>
  <c r="EO34" i="1"/>
  <c r="EN34" i="1"/>
  <c r="EM34" i="1"/>
  <c r="EL34" i="1"/>
  <c r="EK34" i="1"/>
  <c r="EH34" i="1"/>
  <c r="EG34" i="1"/>
  <c r="EF34" i="1"/>
  <c r="EE34" i="1"/>
  <c r="ED34" i="1"/>
  <c r="EC34" i="1"/>
  <c r="DZ34" i="1"/>
  <c r="DY34" i="1"/>
  <c r="DX34" i="1"/>
  <c r="DW34" i="1"/>
  <c r="DV34" i="1"/>
  <c r="DU34" i="1"/>
  <c r="DN108" i="1" l="1"/>
  <c r="DM108" i="1"/>
  <c r="DL108" i="1"/>
  <c r="DK108" i="1"/>
  <c r="DJ108" i="1"/>
  <c r="DI108" i="1"/>
  <c r="DF108" i="1"/>
  <c r="DE108" i="1"/>
  <c r="DD108" i="1"/>
  <c r="DC108" i="1"/>
  <c r="DB108" i="1"/>
  <c r="DA108" i="1"/>
  <c r="CX108" i="1"/>
  <c r="CW108" i="1"/>
  <c r="CV108" i="1"/>
  <c r="CU108" i="1"/>
  <c r="CT108" i="1"/>
  <c r="CS108" i="1"/>
  <c r="DN107" i="1"/>
  <c r="DM107" i="1"/>
  <c r="DL107" i="1"/>
  <c r="DK107" i="1"/>
  <c r="DJ107" i="1"/>
  <c r="DI107" i="1"/>
  <c r="DF107" i="1"/>
  <c r="DE107" i="1"/>
  <c r="DD107" i="1"/>
  <c r="DC107" i="1"/>
  <c r="DB107" i="1"/>
  <c r="DA107" i="1"/>
  <c r="CX107" i="1"/>
  <c r="CW107" i="1"/>
  <c r="CV107" i="1"/>
  <c r="CU107" i="1"/>
  <c r="CT107" i="1"/>
  <c r="CS107" i="1"/>
  <c r="DN106" i="1"/>
  <c r="DM106" i="1"/>
  <c r="DL106" i="1"/>
  <c r="DK106" i="1"/>
  <c r="DJ106" i="1"/>
  <c r="DI106" i="1"/>
  <c r="DF106" i="1"/>
  <c r="DE106" i="1"/>
  <c r="DD106" i="1"/>
  <c r="DC106" i="1"/>
  <c r="DB106" i="1"/>
  <c r="DA106" i="1"/>
  <c r="CX106" i="1"/>
  <c r="CW106" i="1"/>
  <c r="CV106" i="1"/>
  <c r="CU106" i="1"/>
  <c r="CT106" i="1"/>
  <c r="CS106" i="1"/>
  <c r="DN105" i="1"/>
  <c r="DM105" i="1"/>
  <c r="DL105" i="1"/>
  <c r="DK105" i="1"/>
  <c r="DJ105" i="1"/>
  <c r="DI105" i="1"/>
  <c r="DF105" i="1"/>
  <c r="DE105" i="1"/>
  <c r="DD105" i="1"/>
  <c r="DC105" i="1"/>
  <c r="DB105" i="1"/>
  <c r="DA105" i="1"/>
  <c r="CX105" i="1"/>
  <c r="CW105" i="1"/>
  <c r="CV105" i="1"/>
  <c r="CU105" i="1"/>
  <c r="CT105" i="1"/>
  <c r="CS105" i="1"/>
  <c r="CJ107" i="1" l="1"/>
  <c r="CI107" i="1"/>
  <c r="CH107" i="1"/>
  <c r="CG107" i="1"/>
  <c r="CF107" i="1"/>
  <c r="CE107" i="1"/>
  <c r="CB107" i="1"/>
  <c r="CA107" i="1"/>
  <c r="BZ107" i="1"/>
  <c r="BY107" i="1"/>
  <c r="BX107" i="1"/>
  <c r="BW107" i="1"/>
  <c r="BT107" i="1"/>
  <c r="BS107" i="1"/>
  <c r="BR107" i="1"/>
  <c r="BQ107" i="1"/>
  <c r="BP107" i="1"/>
  <c r="BO107" i="1"/>
  <c r="CJ106" i="1"/>
  <c r="CI106" i="1"/>
  <c r="CH106" i="1"/>
  <c r="CG106" i="1"/>
  <c r="CF106" i="1"/>
  <c r="CE106" i="1"/>
  <c r="CB106" i="1"/>
  <c r="CA106" i="1"/>
  <c r="BZ106" i="1"/>
  <c r="BY106" i="1"/>
  <c r="BX106" i="1"/>
  <c r="BW106" i="1"/>
  <c r="BT106" i="1"/>
  <c r="BS106" i="1"/>
  <c r="BR106" i="1"/>
  <c r="BQ106" i="1"/>
  <c r="BP106" i="1"/>
  <c r="BO106" i="1"/>
  <c r="CJ105" i="1"/>
  <c r="CI105" i="1"/>
  <c r="CH105" i="1"/>
  <c r="CG105" i="1"/>
  <c r="CF105" i="1"/>
  <c r="CE105" i="1"/>
  <c r="CB105" i="1"/>
  <c r="CA105" i="1"/>
  <c r="BZ105" i="1"/>
  <c r="BY105" i="1"/>
  <c r="BX105" i="1"/>
  <c r="BW105" i="1"/>
  <c r="BT105" i="1"/>
  <c r="BS105" i="1"/>
  <c r="BR105" i="1"/>
  <c r="BQ105" i="1"/>
  <c r="BP105" i="1"/>
  <c r="BO105" i="1"/>
  <c r="CJ104" i="1"/>
  <c r="CI104" i="1"/>
  <c r="CH104" i="1"/>
  <c r="CG104" i="1"/>
  <c r="CF104" i="1"/>
  <c r="CE104" i="1"/>
  <c r="CB104" i="1"/>
  <c r="CA104" i="1"/>
  <c r="BZ104" i="1"/>
  <c r="BY104" i="1"/>
  <c r="BX104" i="1"/>
  <c r="BW104" i="1"/>
  <c r="BT104" i="1"/>
  <c r="BS104" i="1"/>
  <c r="BR104" i="1"/>
  <c r="BQ104" i="1"/>
  <c r="BP104" i="1"/>
  <c r="BO104" i="1"/>
  <c r="X34" i="1" l="1"/>
  <c r="Y34" i="1"/>
  <c r="Z34" i="1"/>
  <c r="AA34" i="1"/>
  <c r="AB34" i="1"/>
  <c r="X35" i="1"/>
  <c r="Y35" i="1"/>
  <c r="Z35" i="1"/>
  <c r="AA35" i="1"/>
  <c r="AB35" i="1"/>
  <c r="X36" i="1"/>
  <c r="Y36" i="1"/>
  <c r="Z36" i="1"/>
  <c r="AA36" i="1"/>
  <c r="AB36" i="1"/>
  <c r="X37" i="1"/>
  <c r="Y37" i="1"/>
  <c r="Z37" i="1"/>
  <c r="AA37" i="1"/>
  <c r="AB37" i="1"/>
  <c r="P34" i="1"/>
  <c r="Q34" i="1"/>
  <c r="R34" i="1"/>
  <c r="S34" i="1"/>
  <c r="T34" i="1"/>
  <c r="P35" i="1"/>
  <c r="Q35" i="1"/>
  <c r="R35" i="1"/>
  <c r="S35" i="1"/>
  <c r="T35" i="1"/>
  <c r="P36" i="1"/>
  <c r="Q36" i="1"/>
  <c r="R36" i="1"/>
  <c r="S36" i="1"/>
  <c r="T36" i="1"/>
  <c r="P37" i="1"/>
  <c r="Q37" i="1"/>
  <c r="R37" i="1"/>
  <c r="S37" i="1"/>
  <c r="T37" i="1"/>
  <c r="H34" i="1"/>
  <c r="I34" i="1"/>
  <c r="J34" i="1"/>
  <c r="K34" i="1"/>
  <c r="L34" i="1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CV34" i="1" l="1"/>
  <c r="CV35" i="1"/>
  <c r="CV36" i="1"/>
  <c r="CV37" i="1"/>
  <c r="DM37" i="1"/>
  <c r="DL37" i="1"/>
  <c r="DK37" i="1"/>
  <c r="DJ37" i="1"/>
  <c r="DI37" i="1"/>
  <c r="DH37" i="1"/>
  <c r="DE37" i="1"/>
  <c r="DD37" i="1"/>
  <c r="DC37" i="1"/>
  <c r="DB37" i="1"/>
  <c r="DA37" i="1"/>
  <c r="CZ37" i="1"/>
  <c r="CW37" i="1"/>
  <c r="CU37" i="1"/>
  <c r="CT37" i="1"/>
  <c r="CS37" i="1"/>
  <c r="CR37" i="1"/>
  <c r="DM36" i="1"/>
  <c r="DL36" i="1"/>
  <c r="DK36" i="1"/>
  <c r="DJ36" i="1"/>
  <c r="DI36" i="1"/>
  <c r="DH36" i="1"/>
  <c r="DE36" i="1"/>
  <c r="DD36" i="1"/>
  <c r="DC36" i="1"/>
  <c r="DB36" i="1"/>
  <c r="DA36" i="1"/>
  <c r="CZ36" i="1"/>
  <c r="CW36" i="1"/>
  <c r="CU36" i="1"/>
  <c r="CT36" i="1"/>
  <c r="CS36" i="1"/>
  <c r="CR36" i="1"/>
  <c r="DM35" i="1"/>
  <c r="DL35" i="1"/>
  <c r="DK35" i="1"/>
  <c r="DJ35" i="1"/>
  <c r="DI35" i="1"/>
  <c r="DH35" i="1"/>
  <c r="DE35" i="1"/>
  <c r="DD35" i="1"/>
  <c r="DC35" i="1"/>
  <c r="DB35" i="1"/>
  <c r="DA35" i="1"/>
  <c r="CZ35" i="1"/>
  <c r="CW35" i="1"/>
  <c r="CU35" i="1"/>
  <c r="CT35" i="1"/>
  <c r="CS35" i="1"/>
  <c r="CR35" i="1"/>
  <c r="DM34" i="1"/>
  <c r="DL34" i="1"/>
  <c r="DK34" i="1"/>
  <c r="DJ34" i="1"/>
  <c r="DI34" i="1"/>
  <c r="DH34" i="1"/>
  <c r="DE34" i="1"/>
  <c r="DD34" i="1"/>
  <c r="DC34" i="1"/>
  <c r="DB34" i="1"/>
  <c r="DA34" i="1"/>
  <c r="CZ34" i="1"/>
  <c r="CW34" i="1"/>
  <c r="CU34" i="1"/>
  <c r="CT34" i="1"/>
  <c r="CS34" i="1"/>
  <c r="CR34" i="1"/>
  <c r="CF35" i="1"/>
  <c r="CG35" i="1"/>
  <c r="CH35" i="1"/>
  <c r="CI35" i="1"/>
  <c r="CJ35" i="1"/>
  <c r="CF36" i="1"/>
  <c r="CG36" i="1"/>
  <c r="CH36" i="1"/>
  <c r="CI36" i="1"/>
  <c r="CJ36" i="1"/>
  <c r="CF37" i="1"/>
  <c r="CG37" i="1"/>
  <c r="CH37" i="1"/>
  <c r="CI37" i="1"/>
  <c r="CJ37" i="1"/>
  <c r="BX34" i="1"/>
  <c r="BY34" i="1"/>
  <c r="BZ34" i="1"/>
  <c r="CA34" i="1"/>
  <c r="CB34" i="1"/>
  <c r="BX35" i="1"/>
  <c r="BY35" i="1"/>
  <c r="BZ35" i="1"/>
  <c r="CA35" i="1"/>
  <c r="CB35" i="1"/>
  <c r="BX36" i="1"/>
  <c r="BY36" i="1"/>
  <c r="BZ36" i="1"/>
  <c r="CA36" i="1"/>
  <c r="CB36" i="1"/>
  <c r="BX37" i="1"/>
  <c r="BY37" i="1"/>
  <c r="BZ37" i="1"/>
  <c r="CA37" i="1"/>
  <c r="CB37" i="1"/>
  <c r="BP34" i="1"/>
  <c r="BQ34" i="1"/>
  <c r="BR34" i="1"/>
  <c r="BS34" i="1"/>
  <c r="BT34" i="1"/>
  <c r="BP35" i="1"/>
  <c r="BQ35" i="1"/>
  <c r="BR35" i="1"/>
  <c r="BS35" i="1"/>
  <c r="BT35" i="1"/>
  <c r="BP36" i="1"/>
  <c r="BQ36" i="1"/>
  <c r="BR36" i="1"/>
  <c r="BS36" i="1"/>
  <c r="BT36" i="1"/>
  <c r="BP37" i="1"/>
  <c r="BQ37" i="1"/>
  <c r="BR37" i="1"/>
  <c r="BS37" i="1"/>
  <c r="BT37" i="1"/>
  <c r="BB34" i="1"/>
  <c r="BC34" i="1"/>
  <c r="BD34" i="1"/>
  <c r="BE34" i="1"/>
  <c r="BF34" i="1"/>
  <c r="BB35" i="1"/>
  <c r="BC35" i="1"/>
  <c r="BD35" i="1"/>
  <c r="BE35" i="1"/>
  <c r="BF35" i="1"/>
  <c r="BB36" i="1"/>
  <c r="BC36" i="1"/>
  <c r="BD36" i="1"/>
  <c r="BE36" i="1"/>
  <c r="BF36" i="1"/>
  <c r="BB37" i="1"/>
  <c r="BC37" i="1"/>
  <c r="BD37" i="1"/>
  <c r="BE37" i="1"/>
  <c r="BF37" i="1"/>
  <c r="AT34" i="1"/>
  <c r="AU34" i="1"/>
  <c r="AV34" i="1"/>
  <c r="AW34" i="1"/>
  <c r="AX34" i="1"/>
  <c r="AT35" i="1"/>
  <c r="AU35" i="1"/>
  <c r="AV35" i="1"/>
  <c r="AW35" i="1"/>
  <c r="AX35" i="1"/>
  <c r="AT36" i="1"/>
  <c r="AU36" i="1"/>
  <c r="AV36" i="1"/>
  <c r="AW36" i="1"/>
  <c r="AX36" i="1"/>
  <c r="AT37" i="1"/>
  <c r="AU37" i="1"/>
  <c r="AV37" i="1"/>
  <c r="AW37" i="1"/>
  <c r="AX37" i="1"/>
  <c r="AL34" i="1"/>
  <c r="AM34" i="1"/>
  <c r="AN34" i="1"/>
  <c r="AO34" i="1"/>
  <c r="AP34" i="1"/>
  <c r="AL35" i="1"/>
  <c r="AM35" i="1"/>
  <c r="AN35" i="1"/>
  <c r="AO35" i="1"/>
  <c r="AP35" i="1"/>
  <c r="AL36" i="1"/>
  <c r="AM36" i="1"/>
  <c r="AN36" i="1"/>
  <c r="AO36" i="1"/>
  <c r="AP36" i="1"/>
  <c r="AL37" i="1"/>
  <c r="AM37" i="1"/>
  <c r="AN37" i="1"/>
  <c r="AO37" i="1"/>
  <c r="AP37" i="1"/>
  <c r="W34" i="1"/>
  <c r="O34" i="1"/>
  <c r="CE37" i="1" l="1"/>
  <c r="BW37" i="1"/>
  <c r="BO37" i="1"/>
  <c r="BA37" i="1"/>
  <c r="AS37" i="1"/>
  <c r="AK37" i="1"/>
  <c r="W37" i="1"/>
  <c r="O37" i="1"/>
  <c r="G37" i="1"/>
  <c r="CE36" i="1" l="1"/>
  <c r="BW36" i="1"/>
  <c r="BO36" i="1"/>
  <c r="CE35" i="1"/>
  <c r="BW35" i="1"/>
  <c r="BO35" i="1"/>
  <c r="BW34" i="1"/>
  <c r="BO34" i="1"/>
  <c r="BA36" i="1"/>
  <c r="AS36" i="1"/>
  <c r="AK36" i="1"/>
  <c r="BA35" i="1"/>
  <c r="AS35" i="1"/>
  <c r="AK35" i="1"/>
  <c r="BA34" i="1"/>
  <c r="AS34" i="1"/>
  <c r="AK34" i="1"/>
  <c r="W36" i="1"/>
  <c r="W35" i="1"/>
  <c r="O36" i="1"/>
  <c r="O35" i="1"/>
  <c r="G36" i="1"/>
  <c r="G35" i="1"/>
  <c r="G34" i="1" l="1"/>
</calcChain>
</file>

<file path=xl/sharedStrings.xml><?xml version="1.0" encoding="utf-8"?>
<sst xmlns="http://schemas.openxmlformats.org/spreadsheetml/2006/main" count="300" uniqueCount="35">
  <si>
    <t>Weather2k</t>
  </si>
  <si>
    <t>S4+AFRK</t>
    <phoneticPr fontId="1" type="noConversion"/>
  </si>
  <si>
    <t>S4</t>
    <phoneticPr fontId="1" type="noConversion"/>
  </si>
  <si>
    <t>TFT</t>
    <phoneticPr fontId="1" type="noConversion"/>
  </si>
  <si>
    <t>VAR</t>
    <phoneticPr fontId="1" type="noConversion"/>
  </si>
  <si>
    <t>Unobs+Past</t>
    <phoneticPr fontId="1" type="noConversion"/>
  </si>
  <si>
    <t>Unobs+Future</t>
    <phoneticPr fontId="1" type="noConversion"/>
  </si>
  <si>
    <t>MERRA2</t>
    <phoneticPr fontId="1" type="noConversion"/>
  </si>
  <si>
    <t>Obs</t>
    <phoneticPr fontId="1" type="noConversion"/>
  </si>
  <si>
    <t>Unobs</t>
    <phoneticPr fontId="1" type="noConversion"/>
  </si>
  <si>
    <t>Configs</t>
    <phoneticPr fontId="1" type="noConversion"/>
  </si>
  <si>
    <t>Past</t>
    <phoneticPr fontId="1" type="noConversion"/>
  </si>
  <si>
    <t>Future</t>
    <phoneticPr fontId="1" type="noConversion"/>
  </si>
  <si>
    <t>lat</t>
    <phoneticPr fontId="1" type="noConversion"/>
  </si>
  <si>
    <t>lon</t>
    <phoneticPr fontId="1" type="noConversion"/>
  </si>
  <si>
    <t>VAR's p</t>
    <phoneticPr fontId="1" type="noConversion"/>
  </si>
  <si>
    <t>#MRTS</t>
    <phoneticPr fontId="1" type="noConversion"/>
  </si>
  <si>
    <t>Obs+Future</t>
    <phoneticPr fontId="1" type="noConversion"/>
  </si>
  <si>
    <t>Average</t>
    <phoneticPr fontId="1" type="noConversion"/>
  </si>
  <si>
    <t>2b-8</t>
    <phoneticPr fontId="1" type="noConversion"/>
  </si>
  <si>
    <t>iterations / epoches</t>
    <phoneticPr fontId="1" type="noConversion"/>
  </si>
  <si>
    <t>Min</t>
    <phoneticPr fontId="1" type="noConversion"/>
  </si>
  <si>
    <t>Max</t>
    <phoneticPr fontId="1" type="noConversion"/>
  </si>
  <si>
    <t>2023-12-11T00</t>
  </si>
  <si>
    <t>2023-12-29T23</t>
  </si>
  <si>
    <t>2023-12-30T00</t>
  </si>
  <si>
    <t>2023-12-31T23</t>
  </si>
  <si>
    <t>Var</t>
    <phoneticPr fontId="1" type="noConversion"/>
  </si>
  <si>
    <t>STDK</t>
    <phoneticPr fontId="1" type="noConversion"/>
  </si>
  <si>
    <t>PDEBench-2d_reacdiff</t>
    <phoneticPr fontId="1" type="noConversion"/>
  </si>
  <si>
    <t>simulation</t>
    <phoneticPr fontId="1" type="noConversion"/>
  </si>
  <si>
    <t>batch400</t>
    <phoneticPr fontId="1" type="noConversion"/>
  </si>
  <si>
    <t>GPyTorch</t>
  </si>
  <si>
    <t>2021-07-01T00</t>
    <phoneticPr fontId="1" type="noConversion"/>
  </si>
  <si>
    <t>2021-08-31T21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</si>
</sst>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1"/>
      <color rgb="FF000000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14" fontId="0" fillId="0" borderId="0" xfId="0" applyNumberFormat="1"/>
    <xf numFmtId="0" fontId="3" fillId="0" borderId="0" xfId="0" applyFont="1"/>
    <xf numFmtId="11" fontId="0" fillId="0" borderId="0" xfId="0" applyNumberFormat="1"/>
    <xf numFmtId="0" fontId="4" fillId="0" borderId="0" xfId="0" applyNumberFormat="1" applyFont="1" applyFill="1" applyBorder="1" applyAlignment="1" applyProtection="1">
      <alignment vertical="center"/>
    </xf>
  </cellXfs>
  <cellStyles count="1">
    <cellStyle name="一般" xfId="0" builtinId="0"/>
  </cellStyles>
  <dxfs count="233"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43</xdr:row>
      <xdr:rowOff>0</xdr:rowOff>
    </xdr:from>
    <xdr:to>
      <xdr:col>50</xdr:col>
      <xdr:colOff>399653</xdr:colOff>
      <xdr:row>60</xdr:row>
      <xdr:rowOff>103188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5D1FDE1-6F11-4D91-891E-F876CB59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3281" y="8532813"/>
          <a:ext cx="7962900" cy="347662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38</xdr:row>
      <xdr:rowOff>185056</xdr:rowOff>
    </xdr:from>
    <xdr:to>
      <xdr:col>17</xdr:col>
      <xdr:colOff>345621</xdr:colOff>
      <xdr:row>59</xdr:row>
      <xdr:rowOff>108856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4A1328A-A6C5-40A7-8626-13DECC88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8050" y="7786006"/>
          <a:ext cx="7927521" cy="4124325"/>
        </a:xfrm>
        <a:prstGeom prst="rect">
          <a:avLst/>
        </a:prstGeom>
      </xdr:spPr>
    </xdr:pic>
    <xdr:clientData/>
  </xdr:twoCellAnchor>
  <xdr:twoCellAnchor editAs="oneCell">
    <xdr:from>
      <xdr:col>69</xdr:col>
      <xdr:colOff>457200</xdr:colOff>
      <xdr:row>40</xdr:row>
      <xdr:rowOff>66675</xdr:rowOff>
    </xdr:from>
    <xdr:to>
      <xdr:col>77</xdr:col>
      <xdr:colOff>533400</xdr:colOff>
      <xdr:row>65</xdr:row>
      <xdr:rowOff>66675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550361F-63E8-4C98-92B6-E0193C304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95050" y="8067675"/>
          <a:ext cx="5105400" cy="5000625"/>
        </a:xfrm>
        <a:prstGeom prst="rect">
          <a:avLst/>
        </a:prstGeom>
      </xdr:spPr>
    </xdr:pic>
    <xdr:clientData/>
  </xdr:twoCellAnchor>
  <xdr:twoCellAnchor editAs="oneCell">
    <xdr:from>
      <xdr:col>101</xdr:col>
      <xdr:colOff>314325</xdr:colOff>
      <xdr:row>40</xdr:row>
      <xdr:rowOff>38100</xdr:rowOff>
    </xdr:from>
    <xdr:to>
      <xdr:col>110</xdr:col>
      <xdr:colOff>123825</xdr:colOff>
      <xdr:row>65</xdr:row>
      <xdr:rowOff>38100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8B7032-917A-4B4E-B64D-64CB840F2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69975" y="8039100"/>
          <a:ext cx="5295900" cy="5000625"/>
        </a:xfrm>
        <a:prstGeom prst="rect">
          <a:avLst/>
        </a:prstGeom>
      </xdr:spPr>
    </xdr:pic>
    <xdr:clientData/>
  </xdr:twoCellAnchor>
  <xdr:twoCellAnchor editAs="oneCell">
    <xdr:from>
      <xdr:col>104</xdr:col>
      <xdr:colOff>104775</xdr:colOff>
      <xdr:row>110</xdr:row>
      <xdr:rowOff>76200</xdr:rowOff>
    </xdr:from>
    <xdr:to>
      <xdr:col>112</xdr:col>
      <xdr:colOff>523875</xdr:colOff>
      <xdr:row>135</xdr:row>
      <xdr:rowOff>76200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4642A31-7807-4771-BB31-F330621E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189225" y="22364700"/>
          <a:ext cx="5295900" cy="5000625"/>
        </a:xfrm>
        <a:prstGeom prst="rect">
          <a:avLst/>
        </a:prstGeom>
      </xdr:spPr>
    </xdr:pic>
    <xdr:clientData/>
  </xdr:twoCellAnchor>
  <xdr:twoCellAnchor editAs="oneCell">
    <xdr:from>
      <xdr:col>131</xdr:col>
      <xdr:colOff>514350</xdr:colOff>
      <xdr:row>38</xdr:row>
      <xdr:rowOff>161925</xdr:rowOff>
    </xdr:from>
    <xdr:to>
      <xdr:col>140</xdr:col>
      <xdr:colOff>133350</xdr:colOff>
      <xdr:row>63</xdr:row>
      <xdr:rowOff>161925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1755DEC-6DEA-4CC7-81D8-8ED468D4E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058000" y="7762875"/>
          <a:ext cx="5105400" cy="500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8"/>
  <sheetViews>
    <sheetView tabSelected="1" topLeftCell="BK4" zoomScaleNormal="100" workbookViewId="0">
      <selection activeCell="D10" sqref="D10"/>
    </sheetView>
  </sheetViews>
  <sheetFormatPr defaultRowHeight="15.75" x14ac:dyDescent="0.25"/>
  <cols>
    <col min="3" max="4" width="11" bestFit="1" customWidth="1"/>
    <col min="7" max="7" width="11.7109375" bestFit="1" customWidth="1"/>
    <col min="8" max="9" width="9.28515625" bestFit="1" customWidth="1"/>
    <col min="10" max="11" width="10.28515625" bestFit="1" customWidth="1"/>
    <col min="12" max="12" width="10.28515625" customWidth="1"/>
    <col min="19" max="19" width="10.28515625" bestFit="1" customWidth="1"/>
    <col min="20" max="20" width="10.28515625" customWidth="1"/>
    <col min="27" max="27" width="10.28515625" bestFit="1" customWidth="1"/>
    <col min="28" max="28" width="10.28515625" customWidth="1"/>
    <col min="33" max="34" width="15.7109375" bestFit="1" customWidth="1"/>
    <col min="41" max="41" width="10.28515625" bestFit="1" customWidth="1"/>
    <col min="42" max="42" width="10.28515625" customWidth="1"/>
    <col min="49" max="49" width="10.28515625" bestFit="1" customWidth="1"/>
    <col min="50" max="50" width="10.28515625" customWidth="1"/>
    <col min="57" max="57" width="10.28515625" bestFit="1" customWidth="1"/>
    <col min="58" max="58" width="10.28515625" customWidth="1"/>
    <col min="71" max="71" width="10.28515625" bestFit="1" customWidth="1"/>
    <col min="72" max="72" width="10.28515625" customWidth="1"/>
    <col min="79" max="79" width="10.28515625" bestFit="1" customWidth="1"/>
    <col min="80" max="80" width="10.28515625" customWidth="1"/>
    <col min="87" max="87" width="10.28515625" bestFit="1" customWidth="1"/>
  </cols>
  <sheetData>
    <row r="1" spans="1:14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E1" s="1"/>
      <c r="AF1" t="s">
        <v>7</v>
      </c>
      <c r="AQ1" s="1"/>
      <c r="AY1" s="1"/>
      <c r="BG1" s="1"/>
      <c r="BJ1" t="s">
        <v>19</v>
      </c>
      <c r="BU1" s="1"/>
      <c r="CC1" s="1"/>
      <c r="CJ1" s="1"/>
      <c r="CM1" t="s">
        <v>29</v>
      </c>
      <c r="CX1" s="1"/>
      <c r="DF1" s="1"/>
      <c r="DM1" s="1"/>
      <c r="DP1" t="s">
        <v>30</v>
      </c>
      <c r="DR1" t="s">
        <v>31</v>
      </c>
      <c r="EA1" s="1"/>
      <c r="EI1" s="1"/>
      <c r="EP1" s="1"/>
    </row>
    <row r="2" spans="1:146" x14ac:dyDescent="0.25">
      <c r="A2" s="1" t="s">
        <v>10</v>
      </c>
      <c r="B2" s="1"/>
      <c r="C2" s="1"/>
      <c r="D2" s="1"/>
      <c r="E2" s="1"/>
      <c r="F2" s="1" t="s">
        <v>6</v>
      </c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T2" s="1"/>
      <c r="U2" s="1"/>
      <c r="V2" s="1" t="s">
        <v>17</v>
      </c>
      <c r="W2" s="1"/>
      <c r="X2" s="1"/>
      <c r="Y2" s="1"/>
      <c r="Z2" s="1"/>
      <c r="AA2" s="1"/>
      <c r="AB2" s="1"/>
      <c r="AD2" s="1"/>
      <c r="AE2" t="s">
        <v>10</v>
      </c>
      <c r="AJ2" s="1" t="s">
        <v>6</v>
      </c>
      <c r="AK2" s="1"/>
      <c r="AL2" s="1"/>
      <c r="AM2" s="1"/>
      <c r="AN2" s="1"/>
      <c r="AO2" s="1"/>
      <c r="AP2" s="1"/>
      <c r="AQ2" s="1"/>
      <c r="AR2" s="1" t="s">
        <v>5</v>
      </c>
      <c r="AS2" s="1"/>
      <c r="AT2" s="1"/>
      <c r="AU2" s="1"/>
      <c r="AV2" s="1"/>
      <c r="AW2" s="1"/>
      <c r="AX2" s="1"/>
      <c r="AY2" s="1"/>
      <c r="AZ2" s="1" t="s">
        <v>17</v>
      </c>
      <c r="BA2" s="1"/>
      <c r="BB2" s="1"/>
      <c r="BC2" s="1"/>
      <c r="BD2" s="1"/>
      <c r="BE2" s="1"/>
      <c r="BF2" s="1"/>
      <c r="BI2" t="s">
        <v>10</v>
      </c>
      <c r="BN2" s="1" t="s">
        <v>6</v>
      </c>
      <c r="BO2" s="1"/>
      <c r="BP2" s="1"/>
      <c r="BQ2" s="1"/>
      <c r="BR2" s="1"/>
      <c r="BS2" s="1"/>
      <c r="BT2" s="1"/>
      <c r="BU2" s="1"/>
      <c r="BV2" s="1" t="s">
        <v>5</v>
      </c>
      <c r="BW2" s="1"/>
      <c r="BX2" s="1"/>
      <c r="BY2" s="1"/>
      <c r="BZ2" s="1"/>
      <c r="CA2" s="1"/>
      <c r="CB2" s="1"/>
      <c r="CC2" s="1"/>
      <c r="CD2" s="1" t="s">
        <v>17</v>
      </c>
      <c r="CE2" s="1"/>
      <c r="CF2" s="1"/>
      <c r="CG2" s="1"/>
      <c r="CH2" s="1"/>
      <c r="CI2" s="1"/>
      <c r="CL2" t="s">
        <v>10</v>
      </c>
      <c r="CQ2" s="1" t="s">
        <v>6</v>
      </c>
      <c r="CR2" s="1"/>
      <c r="CS2" s="1"/>
      <c r="CT2" s="1"/>
      <c r="CU2" s="1"/>
      <c r="CV2" s="1"/>
      <c r="CW2" s="1"/>
      <c r="CX2" s="1"/>
      <c r="CY2" s="1" t="s">
        <v>5</v>
      </c>
      <c r="CZ2" s="1"/>
      <c r="DA2" s="1"/>
      <c r="DB2" s="1"/>
      <c r="DC2" s="1"/>
      <c r="DD2" s="1"/>
      <c r="DE2" s="1"/>
      <c r="DF2" s="1"/>
      <c r="DG2" s="1" t="s">
        <v>17</v>
      </c>
      <c r="DH2" s="1"/>
      <c r="DI2" s="1"/>
      <c r="DJ2" s="1"/>
      <c r="DK2" s="1"/>
      <c r="DL2" s="1"/>
      <c r="DO2" t="s">
        <v>10</v>
      </c>
      <c r="DT2" s="1" t="s">
        <v>6</v>
      </c>
      <c r="DU2" s="1"/>
      <c r="DV2" s="1"/>
      <c r="DW2" s="1"/>
      <c r="DX2" s="1"/>
      <c r="DY2" s="1"/>
      <c r="DZ2" s="1"/>
      <c r="EA2" s="1"/>
      <c r="EB2" s="1" t="s">
        <v>5</v>
      </c>
      <c r="EC2" s="1"/>
      <c r="ED2" s="1"/>
      <c r="EE2" s="1"/>
      <c r="EF2" s="1"/>
      <c r="EG2" s="1"/>
      <c r="EH2" s="1"/>
      <c r="EI2" s="1"/>
      <c r="EJ2" s="1" t="s">
        <v>17</v>
      </c>
      <c r="EK2" s="1"/>
      <c r="EL2" s="1"/>
      <c r="EM2" s="1"/>
      <c r="EN2" s="1"/>
      <c r="EO2" s="1"/>
    </row>
    <row r="3" spans="1:146" x14ac:dyDescent="0.25">
      <c r="A3" s="1" t="s">
        <v>8</v>
      </c>
      <c r="B3" s="1">
        <v>160</v>
      </c>
      <c r="C3" s="1" t="s">
        <v>33</v>
      </c>
      <c r="E3" s="1"/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28</v>
      </c>
      <c r="L3" s="1" t="s">
        <v>32</v>
      </c>
      <c r="M3" s="1"/>
      <c r="N3" s="1"/>
      <c r="O3" s="1" t="s">
        <v>1</v>
      </c>
      <c r="P3" s="1" t="s">
        <v>2</v>
      </c>
      <c r="Q3" s="1" t="s">
        <v>3</v>
      </c>
      <c r="R3" s="1" t="s">
        <v>4</v>
      </c>
      <c r="S3" s="1" t="s">
        <v>28</v>
      </c>
      <c r="T3" s="1" t="s">
        <v>32</v>
      </c>
      <c r="U3" s="1"/>
      <c r="V3" s="1"/>
      <c r="W3" s="1" t="s">
        <v>1</v>
      </c>
      <c r="X3" s="1" t="s">
        <v>2</v>
      </c>
      <c r="Y3" s="1" t="s">
        <v>3</v>
      </c>
      <c r="Z3" s="1" t="s">
        <v>4</v>
      </c>
      <c r="AA3" s="1" t="s">
        <v>28</v>
      </c>
      <c r="AB3" s="1" t="s">
        <v>32</v>
      </c>
      <c r="AD3" s="1"/>
      <c r="AE3" t="s">
        <v>8</v>
      </c>
      <c r="AF3">
        <v>160</v>
      </c>
      <c r="AJ3" s="1"/>
      <c r="AK3" s="1" t="s">
        <v>1</v>
      </c>
      <c r="AL3" s="1" t="s">
        <v>2</v>
      </c>
      <c r="AM3" s="1" t="s">
        <v>3</v>
      </c>
      <c r="AN3" s="1" t="s">
        <v>4</v>
      </c>
      <c r="AO3" s="1" t="s">
        <v>28</v>
      </c>
      <c r="AP3" s="1" t="s">
        <v>32</v>
      </c>
      <c r="AQ3" s="1"/>
      <c r="AR3" s="1"/>
      <c r="AS3" s="1" t="s">
        <v>1</v>
      </c>
      <c r="AT3" s="1" t="s">
        <v>2</v>
      </c>
      <c r="AU3" s="1" t="s">
        <v>3</v>
      </c>
      <c r="AV3" s="1" t="s">
        <v>4</v>
      </c>
      <c r="AW3" s="1" t="s">
        <v>28</v>
      </c>
      <c r="AX3" s="1" t="s">
        <v>32</v>
      </c>
      <c r="AY3" s="1"/>
      <c r="AZ3" s="1"/>
      <c r="BA3" s="1" t="s">
        <v>1</v>
      </c>
      <c r="BB3" s="1" t="s">
        <v>2</v>
      </c>
      <c r="BC3" s="1" t="s">
        <v>3</v>
      </c>
      <c r="BD3" s="1" t="s">
        <v>4</v>
      </c>
      <c r="BE3" s="1" t="s">
        <v>28</v>
      </c>
      <c r="BF3" s="1" t="s">
        <v>32</v>
      </c>
      <c r="BI3" t="s">
        <v>8</v>
      </c>
      <c r="BJ3">
        <v>160</v>
      </c>
      <c r="BN3" s="1"/>
      <c r="BO3" s="1" t="s">
        <v>1</v>
      </c>
      <c r="BP3" s="1" t="s">
        <v>2</v>
      </c>
      <c r="BQ3" s="1" t="s">
        <v>3</v>
      </c>
      <c r="BR3" s="1" t="s">
        <v>4</v>
      </c>
      <c r="BS3" s="1" t="s">
        <v>28</v>
      </c>
      <c r="BT3" s="1" t="s">
        <v>32</v>
      </c>
      <c r="BU3" s="1"/>
      <c r="BV3" s="1"/>
      <c r="BW3" s="1" t="s">
        <v>1</v>
      </c>
      <c r="BX3" s="1" t="s">
        <v>2</v>
      </c>
      <c r="BY3" s="1" t="s">
        <v>3</v>
      </c>
      <c r="BZ3" s="1" t="s">
        <v>4</v>
      </c>
      <c r="CA3" s="1" t="s">
        <v>28</v>
      </c>
      <c r="CB3" s="1" t="s">
        <v>32</v>
      </c>
      <c r="CC3" s="1"/>
      <c r="CD3" s="1"/>
      <c r="CE3" s="1" t="s">
        <v>1</v>
      </c>
      <c r="CF3" s="1" t="s">
        <v>2</v>
      </c>
      <c r="CG3" s="1" t="s">
        <v>3</v>
      </c>
      <c r="CH3" s="1" t="s">
        <v>4</v>
      </c>
      <c r="CI3" s="1" t="s">
        <v>28</v>
      </c>
      <c r="CJ3" s="1" t="s">
        <v>32</v>
      </c>
      <c r="CL3" t="s">
        <v>8</v>
      </c>
      <c r="CM3">
        <v>160</v>
      </c>
      <c r="CQ3" s="1"/>
      <c r="CR3" s="1" t="s">
        <v>1</v>
      </c>
      <c r="CS3" s="1" t="s">
        <v>2</v>
      </c>
      <c r="CT3" s="1" t="s">
        <v>3</v>
      </c>
      <c r="CU3" s="1" t="s">
        <v>4</v>
      </c>
      <c r="CV3" s="1" t="s">
        <v>28</v>
      </c>
      <c r="CW3" s="1" t="s">
        <v>32</v>
      </c>
      <c r="CX3" s="1"/>
      <c r="CY3" s="1"/>
      <c r="CZ3" s="1" t="s">
        <v>1</v>
      </c>
      <c r="DA3" s="1" t="s">
        <v>2</v>
      </c>
      <c r="DB3" s="1" t="s">
        <v>3</v>
      </c>
      <c r="DC3" s="1" t="s">
        <v>4</v>
      </c>
      <c r="DD3" s="1" t="s">
        <v>28</v>
      </c>
      <c r="DE3" s="1" t="s">
        <v>32</v>
      </c>
      <c r="DF3" s="1"/>
      <c r="DG3" s="1"/>
      <c r="DH3" s="1" t="s">
        <v>1</v>
      </c>
      <c r="DI3" s="1" t="s">
        <v>2</v>
      </c>
      <c r="DJ3" s="1" t="s">
        <v>3</v>
      </c>
      <c r="DK3" s="1" t="s">
        <v>4</v>
      </c>
      <c r="DL3" s="1" t="s">
        <v>28</v>
      </c>
      <c r="DM3" s="1" t="s">
        <v>32</v>
      </c>
      <c r="DO3" t="s">
        <v>8</v>
      </c>
      <c r="DP3">
        <v>1600</v>
      </c>
      <c r="DT3" s="1"/>
      <c r="DU3" s="1" t="s">
        <v>1</v>
      </c>
      <c r="DV3" s="1" t="s">
        <v>2</v>
      </c>
      <c r="DW3" s="1" t="s">
        <v>3</v>
      </c>
      <c r="DX3" s="1" t="s">
        <v>4</v>
      </c>
      <c r="DY3" s="1" t="s">
        <v>28</v>
      </c>
      <c r="DZ3" s="1" t="s">
        <v>32</v>
      </c>
      <c r="EA3" s="1"/>
      <c r="EB3" s="1"/>
      <c r="EC3" s="1" t="s">
        <v>1</v>
      </c>
      <c r="ED3" s="1" t="s">
        <v>2</v>
      </c>
      <c r="EE3" s="1" t="s">
        <v>3</v>
      </c>
      <c r="EF3" s="1" t="s">
        <v>4</v>
      </c>
      <c r="EG3" s="1" t="s">
        <v>28</v>
      </c>
      <c r="EH3" s="1" t="s">
        <v>32</v>
      </c>
      <c r="EI3" s="1"/>
      <c r="EJ3" s="1"/>
      <c r="EK3" s="1" t="s">
        <v>1</v>
      </c>
      <c r="EL3" s="1" t="s">
        <v>2</v>
      </c>
      <c r="EM3" s="1" t="s">
        <v>3</v>
      </c>
      <c r="EN3" s="1" t="s">
        <v>4</v>
      </c>
      <c r="EO3" s="1" t="s">
        <v>28</v>
      </c>
      <c r="EP3" s="1" t="s">
        <v>32</v>
      </c>
    </row>
    <row r="4" spans="1:146" x14ac:dyDescent="0.25">
      <c r="A4" s="1" t="s">
        <v>9</v>
      </c>
      <c r="B4" s="1">
        <v>40</v>
      </c>
      <c r="C4" s="1"/>
      <c r="D4" s="1" t="s">
        <v>34</v>
      </c>
      <c r="E4" s="1"/>
      <c r="F4" s="1">
        <v>1</v>
      </c>
      <c r="G4" s="2">
        <v>20.389466179999999</v>
      </c>
      <c r="H4" s="2">
        <v>20.553948582083301</v>
      </c>
      <c r="I4" s="2">
        <v>21.3777330781034</v>
      </c>
      <c r="J4">
        <v>30.173728000000001</v>
      </c>
      <c r="K4" s="2">
        <v>28.9875911375462</v>
      </c>
      <c r="L4" s="2">
        <v>39.2629550059251</v>
      </c>
      <c r="M4" s="1"/>
      <c r="N4" s="1">
        <v>1</v>
      </c>
      <c r="O4" s="2">
        <v>4.0888449270000002</v>
      </c>
      <c r="P4" s="2">
        <v>4.0750243830807902</v>
      </c>
      <c r="Q4" s="2">
        <v>4.0973896433419599</v>
      </c>
      <c r="R4">
        <v>4.096711</v>
      </c>
      <c r="S4" s="2">
        <v>21.930286407770399</v>
      </c>
      <c r="T4" s="2">
        <v>30.630373282548302</v>
      </c>
      <c r="U4" s="1"/>
      <c r="V4" s="1">
        <v>1</v>
      </c>
      <c r="W4" s="2">
        <v>15.919565179999999</v>
      </c>
      <c r="X4" s="2">
        <v>15.8643941528985</v>
      </c>
      <c r="Y4" s="2">
        <v>17.876204819544299</v>
      </c>
      <c r="Z4">
        <v>23.432532999999999</v>
      </c>
      <c r="AA4" s="2">
        <v>37.213652581806102</v>
      </c>
      <c r="AB4" s="2">
        <v>29.037011601504599</v>
      </c>
      <c r="AD4" s="1"/>
      <c r="AE4" t="s">
        <v>9</v>
      </c>
      <c r="AF4">
        <v>40</v>
      </c>
      <c r="AJ4" s="1">
        <v>1</v>
      </c>
      <c r="AK4" s="2">
        <v>9.2860189466024092</v>
      </c>
      <c r="AL4" s="2">
        <v>9.4491107075445999</v>
      </c>
      <c r="AM4" s="2">
        <v>12.7508005786603</v>
      </c>
      <c r="AN4">
        <v>235.21117000000001</v>
      </c>
      <c r="AO4" s="2">
        <v>154.71658161158899</v>
      </c>
      <c r="AP4" s="2">
        <v>28690.023198510298</v>
      </c>
      <c r="AQ4" s="1"/>
      <c r="AR4" s="1">
        <v>1</v>
      </c>
      <c r="AS4" s="2">
        <v>6.7407035970234697</v>
      </c>
      <c r="AT4" s="2">
        <v>6.7033637742047096</v>
      </c>
      <c r="AU4" s="2">
        <v>6.7316847347594999</v>
      </c>
      <c r="AV4">
        <v>6.7460420000000001</v>
      </c>
      <c r="AW4" s="2">
        <v>161.325277362116</v>
      </c>
      <c r="AX4" s="2">
        <v>20037.2147658592</v>
      </c>
      <c r="AY4" s="1"/>
      <c r="AZ4" s="1">
        <v>1</v>
      </c>
      <c r="BA4" s="2">
        <v>7.0223625514054797</v>
      </c>
      <c r="BB4" s="2">
        <v>7.9927340168001404</v>
      </c>
      <c r="BC4" s="2">
        <v>14.953708067853301</v>
      </c>
      <c r="BD4">
        <v>331.87140499999998</v>
      </c>
      <c r="BE4" s="2">
        <v>107.435650287859</v>
      </c>
      <c r="BF4" s="2">
        <v>22688.748546208899</v>
      </c>
      <c r="BI4" t="s">
        <v>9</v>
      </c>
      <c r="BJ4">
        <v>40</v>
      </c>
      <c r="BN4" s="1">
        <v>1</v>
      </c>
      <c r="BO4" s="2">
        <v>0.84225216211714804</v>
      </c>
      <c r="BP4" s="2">
        <v>0.83663222107477297</v>
      </c>
      <c r="BQ4" s="2">
        <v>0.90279433321686997</v>
      </c>
      <c r="BR4">
        <v>1.047682</v>
      </c>
      <c r="BS4" s="2">
        <v>0.86406567010121804</v>
      </c>
      <c r="BT4" s="2">
        <v>1.11332629322202</v>
      </c>
      <c r="BU4" s="1"/>
      <c r="BV4" s="1">
        <v>1</v>
      </c>
      <c r="BW4" s="2">
        <v>0.78388356177051199</v>
      </c>
      <c r="BX4" s="2">
        <v>0.78256654690170502</v>
      </c>
      <c r="BY4" s="2">
        <v>0.78361387602478905</v>
      </c>
      <c r="BZ4">
        <v>0.78459800000000002</v>
      </c>
      <c r="CA4" s="2">
        <v>0.88986632014571598</v>
      </c>
      <c r="CB4" s="2">
        <v>0.85961788645154402</v>
      </c>
      <c r="CC4" s="1"/>
      <c r="CD4" s="1">
        <v>1</v>
      </c>
      <c r="CE4" s="2">
        <v>1.14177904754196</v>
      </c>
      <c r="CF4" s="2">
        <v>1.09857443819856</v>
      </c>
      <c r="CG4" s="2">
        <v>1.66867781345887</v>
      </c>
      <c r="CH4">
        <v>2.4341870000000001</v>
      </c>
      <c r="CI4" s="2">
        <v>0.93013944684855299</v>
      </c>
      <c r="CJ4" s="2">
        <v>1.11507655146067</v>
      </c>
      <c r="CL4" t="s">
        <v>9</v>
      </c>
      <c r="CM4">
        <v>40</v>
      </c>
      <c r="CQ4" s="1">
        <v>1</v>
      </c>
      <c r="CR4" s="2">
        <v>1.1857158099197801E-2</v>
      </c>
      <c r="CS4" s="2">
        <v>1.24307110631922E-2</v>
      </c>
      <c r="CT4" s="2">
        <v>1.20854876072592E-2</v>
      </c>
      <c r="CU4" s="5">
        <v>1.1769E-2</v>
      </c>
      <c r="CV4" s="2">
        <v>2.5696390640248101E-2</v>
      </c>
      <c r="CX4" s="1"/>
      <c r="CY4" s="1">
        <v>1</v>
      </c>
      <c r="CZ4" s="2">
        <v>3.4857577817089001E-2</v>
      </c>
      <c r="DA4" s="2">
        <v>3.4911076450350902E-2</v>
      </c>
      <c r="DB4" s="2">
        <v>3.4814052314631E-2</v>
      </c>
      <c r="DC4">
        <v>3.4872E-2</v>
      </c>
      <c r="DD4" s="2">
        <v>3.1380108454156903E-2</v>
      </c>
      <c r="DF4" s="1"/>
      <c r="DG4" s="1">
        <v>1</v>
      </c>
      <c r="DH4" s="2">
        <v>1.061306557996E-3</v>
      </c>
      <c r="DI4" s="2">
        <v>1.3550656838079999E-3</v>
      </c>
      <c r="DJ4" s="2">
        <v>7.9205476608720001E-4</v>
      </c>
      <c r="DK4" s="5">
        <v>1.174449E-13</v>
      </c>
      <c r="DL4" s="2">
        <v>2.5763522838881101E-2</v>
      </c>
      <c r="DO4" t="s">
        <v>9</v>
      </c>
      <c r="DP4">
        <v>400</v>
      </c>
      <c r="DT4" s="1">
        <v>1</v>
      </c>
      <c r="DU4" s="2">
        <v>1.1139245374266</v>
      </c>
      <c r="DV4" s="2">
        <v>1.24504658350186</v>
      </c>
      <c r="DW4" s="2">
        <v>1.3802124558622</v>
      </c>
      <c r="DX4" s="5">
        <v>1.573245</v>
      </c>
      <c r="DY4" s="2">
        <v>0.35834264902317198</v>
      </c>
      <c r="EA4" s="1"/>
      <c r="EB4" s="1">
        <v>1</v>
      </c>
      <c r="EC4" s="2">
        <v>2.8888074655181398E-2</v>
      </c>
      <c r="ED4" s="2">
        <v>3.1257820387462401E-2</v>
      </c>
      <c r="EE4" s="2">
        <v>3.09594688888346E-2</v>
      </c>
      <c r="EF4">
        <v>0.81255999999999995</v>
      </c>
      <c r="EG4" s="2">
        <v>0.34060918431654302</v>
      </c>
      <c r="EI4" s="1"/>
      <c r="EJ4" s="1">
        <v>1</v>
      </c>
      <c r="EK4" s="2">
        <v>1.1382521166033299</v>
      </c>
      <c r="EL4" s="2">
        <v>1.18974159112698</v>
      </c>
      <c r="EM4" s="2">
        <v>1.6310938971553</v>
      </c>
      <c r="EN4" s="5">
        <v>1.5865899999999999</v>
      </c>
      <c r="EO4" s="2">
        <v>0.37428077103541801</v>
      </c>
    </row>
    <row r="5" spans="1:146" x14ac:dyDescent="0.25">
      <c r="A5" s="1" t="s">
        <v>11</v>
      </c>
      <c r="B5" s="1">
        <v>448</v>
      </c>
      <c r="C5" s="1"/>
      <c r="D5" s="1"/>
      <c r="E5" s="1"/>
      <c r="F5" s="1">
        <v>2</v>
      </c>
      <c r="G5" s="2">
        <v>18.667747219999999</v>
      </c>
      <c r="H5" s="2">
        <v>19.5814575271358</v>
      </c>
      <c r="I5" s="2">
        <v>33.919539608254901</v>
      </c>
      <c r="K5" s="2">
        <v>31.901650023527498</v>
      </c>
      <c r="L5" s="2">
        <v>31.617484048282702</v>
      </c>
      <c r="M5" s="1"/>
      <c r="N5" s="1">
        <v>2</v>
      </c>
      <c r="O5" s="2">
        <v>4.0971102869999996</v>
      </c>
      <c r="P5" s="2">
        <v>4.0828248292004696</v>
      </c>
      <c r="Q5" s="2">
        <v>4.0923769339140597</v>
      </c>
      <c r="S5" s="2">
        <v>24.031359252655299</v>
      </c>
      <c r="T5" s="2">
        <v>18.712508970786999</v>
      </c>
      <c r="U5" s="1"/>
      <c r="V5" s="1">
        <v>2</v>
      </c>
      <c r="W5" s="2">
        <v>14.455191960000001</v>
      </c>
      <c r="X5" s="2">
        <v>15.692113779123</v>
      </c>
      <c r="Y5" s="2">
        <v>29.194633873519301</v>
      </c>
      <c r="AA5" s="2">
        <v>39.8078668922589</v>
      </c>
      <c r="AB5" s="2">
        <v>40.466291522120898</v>
      </c>
      <c r="AD5" s="1"/>
      <c r="AE5" t="s">
        <v>11</v>
      </c>
      <c r="AF5">
        <v>456</v>
      </c>
      <c r="AG5" t="s">
        <v>23</v>
      </c>
      <c r="AH5" t="s">
        <v>24</v>
      </c>
      <c r="AJ5" s="1">
        <v>2</v>
      </c>
      <c r="AK5" s="2">
        <v>11.020377831141101</v>
      </c>
      <c r="AL5" s="2">
        <v>10.620995893538399</v>
      </c>
      <c r="AM5" s="2">
        <v>13.007400692731</v>
      </c>
      <c r="AO5" s="2">
        <v>171.00273216796401</v>
      </c>
      <c r="AP5" s="2">
        <v>28649.3424222596</v>
      </c>
      <c r="AQ5" s="1"/>
      <c r="AR5" s="1">
        <v>2</v>
      </c>
      <c r="AS5" s="2">
        <v>6.73864665086138</v>
      </c>
      <c r="AT5" s="2">
        <v>6.71420245310778</v>
      </c>
      <c r="AU5" s="2">
        <v>6.7340226811466701</v>
      </c>
      <c r="AW5" s="2">
        <v>178.34042841317199</v>
      </c>
      <c r="AX5" s="2">
        <v>20096.550345414002</v>
      </c>
      <c r="AY5" s="1"/>
      <c r="AZ5" s="1">
        <v>2</v>
      </c>
      <c r="BA5" s="2">
        <v>9.2390485160574194</v>
      </c>
      <c r="BB5" s="2">
        <v>7.8490606966279302</v>
      </c>
      <c r="BC5" s="2">
        <v>12.680806409073799</v>
      </c>
      <c r="BE5" s="2">
        <v>159.90776675399101</v>
      </c>
      <c r="BF5" s="2">
        <v>29033.386207197</v>
      </c>
      <c r="BI5" t="s">
        <v>11</v>
      </c>
      <c r="BJ5">
        <v>90</v>
      </c>
      <c r="BN5" s="1">
        <v>2</v>
      </c>
      <c r="BO5" s="2">
        <v>1.0564400021635001</v>
      </c>
      <c r="BP5" s="2">
        <v>0.84808941287203898</v>
      </c>
      <c r="BQ5" s="2">
        <v>0.91755061645184499</v>
      </c>
      <c r="BS5" s="2">
        <v>0.78757729453668601</v>
      </c>
      <c r="BT5" s="2">
        <v>0.83879000747719701</v>
      </c>
      <c r="BU5" s="1"/>
      <c r="BV5" s="1">
        <v>2</v>
      </c>
      <c r="BW5" s="2">
        <v>0.78455026691372998</v>
      </c>
      <c r="BX5" s="2">
        <v>0.78332321966263896</v>
      </c>
      <c r="BY5" s="2">
        <v>0.78469258905871297</v>
      </c>
      <c r="CA5" s="2">
        <v>0.87242129773300503</v>
      </c>
      <c r="CB5" s="2">
        <v>0.83411167779061102</v>
      </c>
      <c r="CC5" s="1"/>
      <c r="CD5" s="1">
        <v>2</v>
      </c>
      <c r="CE5" s="2">
        <v>1.54505090704589</v>
      </c>
      <c r="CF5" s="2">
        <v>1.06820005751408</v>
      </c>
      <c r="CG5" s="2">
        <v>1.76437320288928</v>
      </c>
      <c r="CI5" s="2">
        <v>1.0424322931066199</v>
      </c>
      <c r="CJ5" s="2">
        <v>0.93310705115531101</v>
      </c>
      <c r="CL5" t="s">
        <v>11</v>
      </c>
      <c r="CM5">
        <v>90</v>
      </c>
      <c r="CQ5" s="1">
        <v>2</v>
      </c>
      <c r="CR5" s="2">
        <v>1.30770971610861E-2</v>
      </c>
      <c r="CS5" s="2">
        <v>1.2702904980725601E-2</v>
      </c>
      <c r="CT5" s="2">
        <v>1.22125095159003E-2</v>
      </c>
      <c r="CV5" s="2">
        <v>1.7093391483447899E-2</v>
      </c>
      <c r="CX5" s="1"/>
      <c r="CY5" s="1">
        <v>2</v>
      </c>
      <c r="CZ5" s="2">
        <v>3.5143701970502199E-2</v>
      </c>
      <c r="DA5" s="2">
        <v>3.4983603892259997E-2</v>
      </c>
      <c r="DB5" s="2">
        <v>3.4852796819031799E-2</v>
      </c>
      <c r="DD5" s="2">
        <v>2.7191248998876899E-2</v>
      </c>
      <c r="DF5" s="1"/>
      <c r="DG5" s="1">
        <v>2</v>
      </c>
      <c r="DH5" s="2">
        <v>2.4774830351626002E-3</v>
      </c>
      <c r="DI5" s="2">
        <v>1.3344891202103999E-3</v>
      </c>
      <c r="DJ5" s="2">
        <v>8.8053047452489998E-4</v>
      </c>
      <c r="DL5" s="2">
        <v>2.83033072074871E-2</v>
      </c>
      <c r="DO5" t="s">
        <v>11</v>
      </c>
      <c r="DP5">
        <v>90</v>
      </c>
      <c r="DT5" s="1">
        <v>2</v>
      </c>
      <c r="DU5" s="2"/>
      <c r="DV5" s="2">
        <v>1.25950851125326</v>
      </c>
      <c r="DW5" s="2">
        <v>1.3414642973654001</v>
      </c>
      <c r="DY5" s="2">
        <v>0.36286569481902498</v>
      </c>
      <c r="EA5" s="1"/>
      <c r="EB5" s="1">
        <v>2</v>
      </c>
      <c r="EC5" s="2"/>
      <c r="ED5" s="2">
        <v>3.0874007148615299E-2</v>
      </c>
      <c r="EE5" s="2">
        <v>2.9563879167642401E-2</v>
      </c>
      <c r="EG5" s="2">
        <v>0.36625561350311098</v>
      </c>
      <c r="EI5" s="1"/>
      <c r="EJ5" s="1">
        <v>2</v>
      </c>
      <c r="EK5" s="2"/>
      <c r="EL5" s="2">
        <v>1.22761830405183</v>
      </c>
      <c r="EM5" s="2">
        <v>1.6532886965291</v>
      </c>
      <c r="EO5" s="2">
        <v>0.40786909125836701</v>
      </c>
    </row>
    <row r="6" spans="1:146" x14ac:dyDescent="0.25">
      <c r="A6" s="1" t="s">
        <v>12</v>
      </c>
      <c r="B6" s="1">
        <v>48</v>
      </c>
      <c r="C6" s="1"/>
      <c r="D6" s="1"/>
      <c r="E6" s="1"/>
      <c r="F6" s="1">
        <v>3</v>
      </c>
      <c r="G6" s="2">
        <v>17.982212669999999</v>
      </c>
      <c r="H6" s="2">
        <v>22.4781155030104</v>
      </c>
      <c r="I6" s="2">
        <v>17.6638959654899</v>
      </c>
      <c r="K6" s="2">
        <v>29.689873618616499</v>
      </c>
      <c r="L6" s="2">
        <v>30.541944503800401</v>
      </c>
      <c r="M6" s="1"/>
      <c r="N6" s="1">
        <v>3</v>
      </c>
      <c r="O6" s="2">
        <v>4.0884773589999996</v>
      </c>
      <c r="P6" s="2">
        <v>4.0802335702195496</v>
      </c>
      <c r="Q6" s="2">
        <v>4.0858909045790304</v>
      </c>
      <c r="S6" s="2">
        <v>23.1261068337474</v>
      </c>
      <c r="T6" s="2">
        <v>19.589319724428002</v>
      </c>
      <c r="U6" s="1"/>
      <c r="V6" s="1">
        <v>3</v>
      </c>
      <c r="W6" s="2">
        <v>14.26104145</v>
      </c>
      <c r="X6" s="2">
        <v>17.359780078278799</v>
      </c>
      <c r="Y6" s="2">
        <v>16.7432911864272</v>
      </c>
      <c r="AA6" s="2">
        <v>38.103454567080803</v>
      </c>
      <c r="AB6" s="2">
        <v>36.426060913351797</v>
      </c>
      <c r="AD6" s="1"/>
      <c r="AE6" t="s">
        <v>12</v>
      </c>
      <c r="AF6">
        <v>48</v>
      </c>
      <c r="AG6" t="s">
        <v>25</v>
      </c>
      <c r="AH6" t="s">
        <v>26</v>
      </c>
      <c r="AJ6" s="1">
        <v>3</v>
      </c>
      <c r="AK6" s="2">
        <v>10.7857422519329</v>
      </c>
      <c r="AL6" s="2">
        <v>10.677134790418</v>
      </c>
      <c r="AM6" s="2">
        <v>10.9809463460217</v>
      </c>
      <c r="AO6" s="2">
        <v>171.580293818348</v>
      </c>
      <c r="AP6" s="2">
        <v>21695.043034807</v>
      </c>
      <c r="AQ6" s="1"/>
      <c r="AR6" s="1">
        <v>3</v>
      </c>
      <c r="AS6" s="2">
        <v>6.7701950252678902</v>
      </c>
      <c r="AT6" s="2">
        <v>6.7515687833199003</v>
      </c>
      <c r="AU6" s="2">
        <v>6.7397017159672901</v>
      </c>
      <c r="AW6" s="2">
        <v>166.16196782070401</v>
      </c>
      <c r="AX6" s="2">
        <v>14783.4921359774</v>
      </c>
      <c r="AY6" s="1"/>
      <c r="AZ6" s="1">
        <v>3</v>
      </c>
      <c r="BA6" s="2">
        <v>8.4061390584117603</v>
      </c>
      <c r="BB6" s="2">
        <v>8.1313124932268597</v>
      </c>
      <c r="BC6" s="2">
        <v>10.2265416274531</v>
      </c>
      <c r="BE6" s="2">
        <v>104.656008340112</v>
      </c>
      <c r="BF6" s="2">
        <v>24733.8502694745</v>
      </c>
      <c r="BI6" t="s">
        <v>12</v>
      </c>
      <c r="BJ6">
        <v>10</v>
      </c>
      <c r="BN6" s="1">
        <v>3</v>
      </c>
      <c r="BO6" s="2">
        <v>0.83398032051594095</v>
      </c>
      <c r="BP6" s="2">
        <v>0.82311948918034705</v>
      </c>
      <c r="BQ6" s="2">
        <v>0.93964589531459297</v>
      </c>
      <c r="BS6" s="2">
        <v>0.77537369024630798</v>
      </c>
      <c r="BT6" s="2">
        <v>0.84212303014878798</v>
      </c>
      <c r="BU6" s="1"/>
      <c r="BV6" s="1">
        <v>3</v>
      </c>
      <c r="BW6" s="2">
        <v>0.78253989437282101</v>
      </c>
      <c r="BX6" s="2">
        <v>0.78494039962731599</v>
      </c>
      <c r="BY6" s="2">
        <v>0.78474043118876302</v>
      </c>
      <c r="CA6" s="2">
        <v>0.85738402488920795</v>
      </c>
      <c r="CB6" s="2">
        <v>0.86561793836601197</v>
      </c>
      <c r="CC6" s="1"/>
      <c r="CD6" s="1">
        <v>3</v>
      </c>
      <c r="CE6" s="2">
        <v>1.13137061110101</v>
      </c>
      <c r="CF6" s="2">
        <v>1.04312570756254</v>
      </c>
      <c r="CG6" s="2">
        <v>1.70457441149517</v>
      </c>
      <c r="CI6" s="2">
        <v>0.84550818017576601</v>
      </c>
      <c r="CJ6" s="2">
        <v>0.87291747547113596</v>
      </c>
      <c r="CL6" t="s">
        <v>12</v>
      </c>
      <c r="CM6">
        <v>10</v>
      </c>
      <c r="CQ6" s="1">
        <v>3</v>
      </c>
      <c r="CR6" s="2">
        <v>1.2314887161626299E-2</v>
      </c>
      <c r="CS6" s="2">
        <v>1.2961293942850401E-2</v>
      </c>
      <c r="CT6" s="2">
        <v>1.22565482038256E-2</v>
      </c>
      <c r="CV6" s="2">
        <v>3.1726349754467302E-2</v>
      </c>
      <c r="CX6" s="1"/>
      <c r="CY6" s="1">
        <v>3</v>
      </c>
      <c r="CZ6" s="2">
        <v>3.4898698723786301E-2</v>
      </c>
      <c r="DA6" s="2">
        <v>3.4995471138501502E-2</v>
      </c>
      <c r="DB6" s="2">
        <v>3.4930018432368599E-2</v>
      </c>
      <c r="DD6" s="2">
        <v>3.1840428513942899E-2</v>
      </c>
      <c r="DF6" s="1"/>
      <c r="DG6" s="1">
        <v>3</v>
      </c>
      <c r="DH6" s="2">
        <v>1.8780014383908E-3</v>
      </c>
      <c r="DI6" s="2">
        <v>1.5708524614835E-3</v>
      </c>
      <c r="DJ6" s="2">
        <v>7.8801884836359999E-4</v>
      </c>
      <c r="DL6" s="2">
        <v>2.8332006457931699E-2</v>
      </c>
      <c r="DO6" t="s">
        <v>12</v>
      </c>
      <c r="DP6">
        <v>10</v>
      </c>
      <c r="DT6" s="1">
        <v>3</v>
      </c>
      <c r="DU6" s="2"/>
      <c r="DV6" s="2">
        <v>1.2618326084473801</v>
      </c>
      <c r="DW6" s="2">
        <v>1.35670389461896</v>
      </c>
      <c r="DY6" s="2">
        <v>0.33844022745352598</v>
      </c>
      <c r="EA6" s="1"/>
      <c r="EB6" s="1">
        <v>3</v>
      </c>
      <c r="EC6" s="2"/>
      <c r="ED6" s="2">
        <v>3.04415300882236E-2</v>
      </c>
      <c r="EE6" s="2">
        <v>3.1439777840767E-2</v>
      </c>
      <c r="EG6" s="2">
        <v>0.34965187221548399</v>
      </c>
      <c r="EI6" s="1"/>
      <c r="EJ6" s="1">
        <v>3</v>
      </c>
      <c r="EK6" s="2"/>
      <c r="EL6" s="2">
        <v>1.23142877567664</v>
      </c>
      <c r="EM6" s="2">
        <v>1.6680145061292899</v>
      </c>
      <c r="EO6" s="2">
        <v>0.34517882218388202</v>
      </c>
    </row>
    <row r="7" spans="1:146" x14ac:dyDescent="0.25">
      <c r="A7" s="1" t="s">
        <v>13</v>
      </c>
      <c r="B7" s="1"/>
      <c r="C7" s="1">
        <v>18.649999999999999</v>
      </c>
      <c r="D7" s="1">
        <v>53.47</v>
      </c>
      <c r="E7" s="1"/>
      <c r="F7" s="1">
        <v>4</v>
      </c>
      <c r="G7" s="2">
        <v>19.601530220000001</v>
      </c>
      <c r="H7" s="2">
        <v>17.3594779215857</v>
      </c>
      <c r="I7" s="2">
        <v>21.932300878957601</v>
      </c>
      <c r="K7" s="2">
        <v>31.312202127656501</v>
      </c>
      <c r="L7" s="2">
        <v>24.888744140668098</v>
      </c>
      <c r="M7" s="1"/>
      <c r="N7" s="1">
        <v>4</v>
      </c>
      <c r="O7" s="2">
        <v>4.0889530199999999</v>
      </c>
      <c r="P7" s="2">
        <v>4.0698305861989201</v>
      </c>
      <c r="Q7" s="2">
        <v>4.0901081195957696</v>
      </c>
      <c r="S7" s="2">
        <v>23.400003612224101</v>
      </c>
      <c r="T7" s="2">
        <v>24.8878404807012</v>
      </c>
      <c r="U7" s="1"/>
      <c r="V7" s="1">
        <v>4</v>
      </c>
      <c r="W7" s="2">
        <v>15.52425197</v>
      </c>
      <c r="X7" s="2">
        <v>13.455089811042299</v>
      </c>
      <c r="Y7" s="2">
        <v>18.172426952962301</v>
      </c>
      <c r="AA7" s="2">
        <v>39.726493590039603</v>
      </c>
      <c r="AB7" s="2">
        <v>20.746992039115302</v>
      </c>
      <c r="AD7" s="1"/>
      <c r="AE7" t="s">
        <v>13</v>
      </c>
      <c r="AG7">
        <v>26</v>
      </c>
      <c r="AH7">
        <v>48</v>
      </c>
      <c r="AJ7" s="1">
        <v>4</v>
      </c>
      <c r="AK7" s="2">
        <v>12.1823242020356</v>
      </c>
      <c r="AL7" s="2">
        <v>9.6422191895074008</v>
      </c>
      <c r="AM7" s="2">
        <v>12.436695567589</v>
      </c>
      <c r="AO7" s="2">
        <v>165.56781489418401</v>
      </c>
      <c r="AP7" s="2">
        <v>24630.5158820088</v>
      </c>
      <c r="AQ7" s="1"/>
      <c r="AR7" s="1">
        <v>4</v>
      </c>
      <c r="AS7" s="2">
        <v>6.7298750068578999</v>
      </c>
      <c r="AT7" s="2">
        <v>6.7072227159648801</v>
      </c>
      <c r="AU7" s="2">
        <v>6.7500943895796004</v>
      </c>
      <c r="AW7" s="2">
        <v>159.35030748033</v>
      </c>
      <c r="AX7" s="2">
        <v>15450.4351996201</v>
      </c>
      <c r="AY7" s="1"/>
      <c r="AZ7" s="1">
        <v>4</v>
      </c>
      <c r="BA7" s="2">
        <v>11.274056666757</v>
      </c>
      <c r="BB7" s="2">
        <v>7.1986656716217103</v>
      </c>
      <c r="BC7" s="2">
        <v>19.6105085585612</v>
      </c>
      <c r="BE7" s="2">
        <v>104.16725534349401</v>
      </c>
      <c r="BF7" s="2">
        <v>23108.123917753601</v>
      </c>
      <c r="BI7" t="s">
        <v>13</v>
      </c>
      <c r="BK7">
        <v>0</v>
      </c>
      <c r="BL7">
        <v>1</v>
      </c>
      <c r="BN7" s="1">
        <v>4</v>
      </c>
      <c r="BO7" s="2">
        <v>0.90514245305904095</v>
      </c>
      <c r="BP7" s="2">
        <v>0.82009081116468097</v>
      </c>
      <c r="BQ7" s="2">
        <v>0.87451802253807198</v>
      </c>
      <c r="BS7" s="2">
        <v>0.94140561654788901</v>
      </c>
      <c r="BT7" s="2">
        <v>0.84647587474419905</v>
      </c>
      <c r="BU7" s="1"/>
      <c r="BV7" s="1">
        <v>4</v>
      </c>
      <c r="BW7" s="2">
        <v>0.782298623766983</v>
      </c>
      <c r="BX7" s="2">
        <v>0.78331398261798701</v>
      </c>
      <c r="BY7" s="2">
        <v>0.78311182257512002</v>
      </c>
      <c r="CA7" s="2">
        <v>0.89272198319792995</v>
      </c>
      <c r="CB7" s="2">
        <v>0.86331660503254903</v>
      </c>
      <c r="CC7" s="1"/>
      <c r="CD7" s="1">
        <v>4</v>
      </c>
      <c r="CE7" s="2">
        <v>1.21723420375465</v>
      </c>
      <c r="CF7" s="2">
        <v>1.0695551300227299</v>
      </c>
      <c r="CG7" s="2">
        <v>1.72010416461655</v>
      </c>
      <c r="CI7" s="2">
        <v>0.93810934840916005</v>
      </c>
      <c r="CJ7" s="2">
        <v>0.86677179152610595</v>
      </c>
      <c r="CL7" t="s">
        <v>13</v>
      </c>
      <c r="CN7">
        <v>-3</v>
      </c>
      <c r="CO7">
        <v>3</v>
      </c>
      <c r="CQ7" s="1">
        <v>4</v>
      </c>
      <c r="CR7" s="2">
        <v>1.33704557994662E-2</v>
      </c>
      <c r="CS7" s="2">
        <v>1.2832757901417699E-2</v>
      </c>
      <c r="CT7" s="2">
        <v>1.20554924648859E-2</v>
      </c>
      <c r="CV7" s="2">
        <v>2.3148036391700901E-2</v>
      </c>
      <c r="CX7" s="1"/>
      <c r="CY7" s="1">
        <v>4</v>
      </c>
      <c r="CZ7" s="2">
        <v>3.5075020062551199E-2</v>
      </c>
      <c r="DA7" s="2">
        <v>3.4960954320039699E-2</v>
      </c>
      <c r="DB7" s="2">
        <v>3.4882712664001697E-2</v>
      </c>
      <c r="DD7" s="2">
        <v>2.83890028891489E-2</v>
      </c>
      <c r="DF7" s="1"/>
      <c r="DG7" s="1">
        <v>4</v>
      </c>
      <c r="DH7" s="2">
        <v>2.0777036447644998E-3</v>
      </c>
      <c r="DI7" s="2">
        <v>1.5714413894828E-3</v>
      </c>
      <c r="DJ7" s="2">
        <v>7.3167712702449999E-4</v>
      </c>
      <c r="DL7" s="2">
        <v>3.4757187113487201E-2</v>
      </c>
      <c r="DO7" t="s">
        <v>13</v>
      </c>
      <c r="DQ7">
        <v>0</v>
      </c>
      <c r="DR7">
        <v>1</v>
      </c>
      <c r="DT7" s="1">
        <v>4</v>
      </c>
      <c r="DU7" s="2"/>
      <c r="DV7" s="2"/>
      <c r="DW7" s="2">
        <v>1.3582195658574401</v>
      </c>
      <c r="DY7" s="2">
        <v>0.35660937878598697</v>
      </c>
      <c r="EA7" s="1"/>
      <c r="EB7" s="1">
        <v>4</v>
      </c>
      <c r="EC7" s="2"/>
      <c r="ED7" s="2"/>
      <c r="EE7" s="2">
        <v>2.9911101594646401E-2</v>
      </c>
      <c r="EG7" s="2">
        <v>0.36951067743104798</v>
      </c>
      <c r="EI7" s="1"/>
      <c r="EJ7" s="1">
        <v>4</v>
      </c>
      <c r="EK7" s="2"/>
      <c r="EL7" s="2"/>
      <c r="EM7" s="2">
        <v>1.64112657295891</v>
      </c>
      <c r="EO7" s="2">
        <v>0.38390358391997298</v>
      </c>
    </row>
    <row r="8" spans="1:146" x14ac:dyDescent="0.25">
      <c r="A8" s="1" t="s">
        <v>14</v>
      </c>
      <c r="B8" s="1"/>
      <c r="C8" s="1">
        <v>75.25</v>
      </c>
      <c r="D8" s="1">
        <v>133.99</v>
      </c>
      <c r="E8" s="1"/>
      <c r="F8" s="1">
        <v>5</v>
      </c>
      <c r="G8" s="2">
        <v>19.95853181</v>
      </c>
      <c r="H8" s="2">
        <v>18.588102546303698</v>
      </c>
      <c r="I8" s="2">
        <v>19.570729615519401</v>
      </c>
      <c r="K8" s="2">
        <v>30.313843335978</v>
      </c>
      <c r="L8" s="2">
        <v>18.518584805438898</v>
      </c>
      <c r="M8" s="1"/>
      <c r="N8" s="1">
        <v>5</v>
      </c>
      <c r="O8" s="2">
        <v>4.0810058769999999</v>
      </c>
      <c r="P8" s="2">
        <v>4.0868019698651201</v>
      </c>
      <c r="Q8" s="2">
        <v>4.0971804554498803</v>
      </c>
      <c r="S8" s="2">
        <v>22.910489065323301</v>
      </c>
      <c r="T8" s="2">
        <v>16.927624966770299</v>
      </c>
      <c r="U8" s="1"/>
      <c r="V8" s="1">
        <v>5</v>
      </c>
      <c r="W8" s="2">
        <v>15.66676378</v>
      </c>
      <c r="X8" s="2">
        <v>14.8426449609749</v>
      </c>
      <c r="Y8" s="2">
        <v>16.617874058287502</v>
      </c>
      <c r="AA8" s="2">
        <v>38.158733307097997</v>
      </c>
      <c r="AB8" s="2">
        <v>19.104755929125599</v>
      </c>
      <c r="AD8" s="1"/>
      <c r="AE8" t="s">
        <v>14</v>
      </c>
      <c r="AG8">
        <v>-123</v>
      </c>
      <c r="AH8">
        <v>-70</v>
      </c>
      <c r="AJ8" s="1">
        <v>5</v>
      </c>
      <c r="AK8" s="2">
        <v>10.6474686842945</v>
      </c>
      <c r="AL8" s="2">
        <v>10.2913507122677</v>
      </c>
      <c r="AM8" s="2">
        <v>13.882121393497901</v>
      </c>
      <c r="AO8" s="2">
        <v>166.762592043479</v>
      </c>
      <c r="AP8" s="2">
        <v>29557.074965727599</v>
      </c>
      <c r="AQ8" s="1"/>
      <c r="AR8" s="1">
        <v>5</v>
      </c>
      <c r="AS8" s="2">
        <v>6.6867696337227303</v>
      </c>
      <c r="AT8" s="2">
        <v>6.7119597816074101</v>
      </c>
      <c r="AU8" s="2">
        <v>6.7383104216768297</v>
      </c>
      <c r="AW8" s="2">
        <v>164.736882165422</v>
      </c>
      <c r="AX8" s="2">
        <v>18230.963447335998</v>
      </c>
      <c r="AY8" s="1"/>
      <c r="AZ8" s="1">
        <v>5</v>
      </c>
      <c r="BA8" s="2">
        <v>8.1718513206297398</v>
      </c>
      <c r="BB8" s="2">
        <v>8.8751586756769605</v>
      </c>
      <c r="BC8" s="2">
        <v>14.601739579843899</v>
      </c>
      <c r="BE8" s="2">
        <v>109.639853845338</v>
      </c>
      <c r="BF8" s="2">
        <v>28059.466665106898</v>
      </c>
      <c r="BI8" t="s">
        <v>14</v>
      </c>
      <c r="BK8">
        <v>0</v>
      </c>
      <c r="BL8">
        <v>1</v>
      </c>
      <c r="BN8" s="1">
        <v>5</v>
      </c>
      <c r="BO8" s="2">
        <v>0.88233527798917599</v>
      </c>
      <c r="BP8" s="2">
        <v>0.86193138162279104</v>
      </c>
      <c r="BQ8" s="2">
        <v>0.92266527476393201</v>
      </c>
      <c r="BS8" s="2">
        <v>0.83225952840508799</v>
      </c>
      <c r="BT8" s="2">
        <v>0.84492323788614898</v>
      </c>
      <c r="BU8" s="1"/>
      <c r="BV8" s="1">
        <v>5</v>
      </c>
      <c r="BW8" s="2">
        <v>0.78490658509919797</v>
      </c>
      <c r="BX8" s="2">
        <v>0.78365391689145103</v>
      </c>
      <c r="BY8" s="2">
        <v>0.78389348865089903</v>
      </c>
      <c r="CA8" s="2">
        <v>0.87354854393397596</v>
      </c>
      <c r="CB8" s="2">
        <v>0.86321037318621996</v>
      </c>
      <c r="CC8" s="1"/>
      <c r="CD8" s="1">
        <v>5</v>
      </c>
      <c r="CE8" s="2">
        <v>1.2013084592088099</v>
      </c>
      <c r="CF8" s="2">
        <v>1.1132690278992099</v>
      </c>
      <c r="CG8" s="2">
        <v>1.6228507039250299</v>
      </c>
      <c r="CI8" s="2">
        <v>0.89919917106345904</v>
      </c>
      <c r="CJ8" s="2">
        <v>0.86463346150296405</v>
      </c>
      <c r="CL8" t="s">
        <v>14</v>
      </c>
      <c r="CN8">
        <v>-3</v>
      </c>
      <c r="CO8">
        <v>3</v>
      </c>
      <c r="CQ8" s="1">
        <v>5</v>
      </c>
      <c r="CR8" s="2">
        <v>1.2204127300327701E-2</v>
      </c>
      <c r="CS8" s="2">
        <v>1.258553003454E-2</v>
      </c>
      <c r="CT8" s="2">
        <v>1.2222401188367E-2</v>
      </c>
      <c r="CV8" s="2">
        <v>2.38587255613564E-2</v>
      </c>
      <c r="CX8" s="1"/>
      <c r="CY8" s="1">
        <v>5</v>
      </c>
      <c r="CZ8" s="2">
        <v>3.4895199220242298E-2</v>
      </c>
      <c r="DA8" s="2">
        <v>3.49449126722257E-2</v>
      </c>
      <c r="DB8" s="2">
        <v>3.48960167966815E-2</v>
      </c>
      <c r="DD8" s="2">
        <v>2.85378458473571E-2</v>
      </c>
      <c r="DF8" s="1"/>
      <c r="DG8" s="1">
        <v>5</v>
      </c>
      <c r="DH8" s="2">
        <v>1.0693333871748E-3</v>
      </c>
      <c r="DI8" s="2">
        <v>1.5831349858397999E-3</v>
      </c>
      <c r="DJ8" s="2">
        <v>6.6482070349559998E-4</v>
      </c>
      <c r="DL8" s="2">
        <v>3.6352042786115799E-2</v>
      </c>
      <c r="DO8" t="s">
        <v>14</v>
      </c>
      <c r="DQ8">
        <v>0</v>
      </c>
      <c r="DR8">
        <v>1</v>
      </c>
      <c r="DT8" s="1">
        <v>5</v>
      </c>
      <c r="DU8" s="2"/>
      <c r="DV8" s="2"/>
      <c r="DW8" s="2">
        <v>1.37006582259383</v>
      </c>
      <c r="DY8" s="2">
        <v>0.33547918814441902</v>
      </c>
      <c r="EA8" s="1"/>
      <c r="EB8" s="1">
        <v>5</v>
      </c>
      <c r="EC8" s="2"/>
      <c r="ED8" s="2"/>
      <c r="EE8" s="2">
        <v>3.1377172287995497E-2</v>
      </c>
      <c r="EG8" s="2">
        <v>0.34400088795957001</v>
      </c>
      <c r="EI8" s="1"/>
      <c r="EJ8" s="1">
        <v>5</v>
      </c>
      <c r="EK8" s="2"/>
      <c r="EL8" s="2"/>
      <c r="EM8" s="2">
        <v>1.64684816790004</v>
      </c>
      <c r="EO8" s="2">
        <v>0.40339102655813103</v>
      </c>
    </row>
    <row r="9" spans="1:146" x14ac:dyDescent="0.25">
      <c r="A9" s="1" t="s">
        <v>16</v>
      </c>
      <c r="B9" s="1">
        <v>123</v>
      </c>
      <c r="C9" s="1"/>
      <c r="D9" s="1"/>
      <c r="E9" s="1"/>
      <c r="F9" s="1">
        <v>6</v>
      </c>
      <c r="G9" s="2">
        <v>19.991466939999999</v>
      </c>
      <c r="H9" s="2">
        <v>19.282396972548401</v>
      </c>
      <c r="I9" s="2">
        <v>19.621837118453499</v>
      </c>
      <c r="K9" s="2">
        <v>30.226354420707601</v>
      </c>
      <c r="L9" s="2">
        <v>26.668733992012701</v>
      </c>
      <c r="N9" s="1">
        <v>6</v>
      </c>
      <c r="O9" s="2">
        <v>4.0854769900000001</v>
      </c>
      <c r="P9" s="2">
        <v>4.08345601225263</v>
      </c>
      <c r="Q9" s="2">
        <v>4.0992568504737301</v>
      </c>
      <c r="S9" s="2">
        <v>23.1788826123883</v>
      </c>
      <c r="T9" s="2">
        <v>19.659206572159</v>
      </c>
      <c r="V9" s="1">
        <v>6</v>
      </c>
      <c r="W9" s="2">
        <v>15.852296170000001</v>
      </c>
      <c r="X9" s="2">
        <v>15.289743475517</v>
      </c>
      <c r="Y9" s="2">
        <v>17.049829486105399</v>
      </c>
      <c r="AA9" s="2">
        <v>38.983414335783799</v>
      </c>
      <c r="AB9" s="2">
        <v>27.284193355449901</v>
      </c>
      <c r="AD9" s="1"/>
      <c r="AE9" t="s">
        <v>16</v>
      </c>
      <c r="AF9">
        <v>123</v>
      </c>
      <c r="AJ9" s="1">
        <v>6</v>
      </c>
      <c r="AK9" s="2">
        <v>9.4992547740660207</v>
      </c>
      <c r="AL9" s="2">
        <v>10.117651576585599</v>
      </c>
      <c r="AM9" s="2">
        <v>20.476343073230801</v>
      </c>
      <c r="AO9" s="2">
        <v>177.34547686889499</v>
      </c>
      <c r="AP9" s="2">
        <v>33077.275768683801</v>
      </c>
      <c r="AR9" s="1">
        <v>6</v>
      </c>
      <c r="AS9" s="2">
        <v>6.76496957553399</v>
      </c>
      <c r="AT9" s="2">
        <v>6.7564471990061898</v>
      </c>
      <c r="AU9" s="2">
        <v>6.7428475559973897</v>
      </c>
      <c r="AW9" s="2">
        <v>168.80508733225599</v>
      </c>
      <c r="AX9" s="2">
        <v>12140.134459209299</v>
      </c>
      <c r="AZ9" s="1">
        <v>6</v>
      </c>
      <c r="BA9" s="2">
        <v>7.1238788485476103</v>
      </c>
      <c r="BB9" s="2">
        <v>7.5560139410416003</v>
      </c>
      <c r="BC9" s="2">
        <v>25.8887368028381</v>
      </c>
      <c r="BE9" s="2">
        <v>108.461005880145</v>
      </c>
      <c r="BF9" s="2">
        <v>30312.462468397898</v>
      </c>
      <c r="BI9" t="s">
        <v>16</v>
      </c>
      <c r="BJ9">
        <v>23</v>
      </c>
      <c r="BN9" s="1">
        <v>6</v>
      </c>
      <c r="BO9" s="2">
        <v>0.82891979427726403</v>
      </c>
      <c r="BP9" s="2">
        <v>0.86898452428265804</v>
      </c>
      <c r="BQ9" s="2">
        <v>0.90378761114695605</v>
      </c>
      <c r="BS9" s="2">
        <v>0.79442859049952297</v>
      </c>
      <c r="BT9" s="2">
        <v>1.0755643874524901</v>
      </c>
      <c r="BV9" s="1">
        <v>6</v>
      </c>
      <c r="BW9" s="2">
        <v>0.78400075521843804</v>
      </c>
      <c r="BX9" s="2">
        <v>0.78345570116424801</v>
      </c>
      <c r="BY9" s="2">
        <v>0.78465999781600304</v>
      </c>
      <c r="CA9" s="2">
        <v>0.87784579089963799</v>
      </c>
      <c r="CB9" s="2">
        <v>0.85784571474840599</v>
      </c>
      <c r="CD9" s="1">
        <v>6</v>
      </c>
      <c r="CE9" s="2">
        <v>1.12151758480867</v>
      </c>
      <c r="CF9" s="2">
        <v>1.07613463869768</v>
      </c>
      <c r="CG9" s="2">
        <v>1.6360676680085899</v>
      </c>
      <c r="CI9" s="2">
        <v>0.972176326420918</v>
      </c>
      <c r="CJ9" s="2">
        <v>1.06363825496377</v>
      </c>
      <c r="CL9" t="s">
        <v>16</v>
      </c>
      <c r="CM9">
        <v>73</v>
      </c>
      <c r="CQ9" s="1">
        <v>6</v>
      </c>
      <c r="CR9" s="2">
        <v>1.28548309937454E-2</v>
      </c>
      <c r="CS9" s="2">
        <v>1.2472208312408599E-2</v>
      </c>
      <c r="CT9" s="2">
        <v>1.21355013455291E-2</v>
      </c>
      <c r="CV9" s="2">
        <v>2.3442045188025999E-2</v>
      </c>
      <c r="CY9" s="1">
        <v>6</v>
      </c>
      <c r="CZ9" s="2">
        <v>3.5019578967737101E-2</v>
      </c>
      <c r="DA9" s="2">
        <v>3.4995680986415902E-2</v>
      </c>
      <c r="DB9" s="2">
        <v>3.4882624355622699E-2</v>
      </c>
      <c r="DD9" s="2">
        <v>2.9666205480662799E-2</v>
      </c>
      <c r="DG9" s="1">
        <v>6</v>
      </c>
      <c r="DH9" s="2">
        <v>1.9321028687706999E-3</v>
      </c>
      <c r="DI9" s="2">
        <v>1.0234520600284E-3</v>
      </c>
      <c r="DJ9" s="2">
        <v>6.8468716831190002E-4</v>
      </c>
      <c r="DL9" s="2">
        <v>3.4278635613713901E-2</v>
      </c>
      <c r="DO9" t="s">
        <v>16</v>
      </c>
      <c r="DP9">
        <v>386</v>
      </c>
      <c r="DT9" s="1">
        <v>6</v>
      </c>
      <c r="DU9" s="2"/>
      <c r="DV9" s="2"/>
      <c r="DW9" s="2"/>
      <c r="DY9" s="2">
        <v>0.46241289180187201</v>
      </c>
      <c r="EB9" s="1">
        <v>6</v>
      </c>
      <c r="EC9" s="2"/>
      <c r="ED9" s="2"/>
      <c r="EE9" s="2"/>
      <c r="EG9" s="2">
        <v>0.35520810106995898</v>
      </c>
      <c r="EJ9" s="1">
        <v>6</v>
      </c>
      <c r="EK9" s="2"/>
      <c r="EL9" s="2"/>
      <c r="EM9" s="2"/>
      <c r="EO9" s="2">
        <v>0.44382930781386698</v>
      </c>
    </row>
    <row r="10" spans="1:146" x14ac:dyDescent="0.25">
      <c r="A10" s="1" t="s">
        <v>20</v>
      </c>
      <c r="B10" s="1">
        <v>500</v>
      </c>
      <c r="F10" s="1">
        <v>7</v>
      </c>
      <c r="G10" s="2">
        <v>18.927351519999998</v>
      </c>
      <c r="H10" s="2">
        <v>21.4710774231276</v>
      </c>
      <c r="I10" s="2">
        <v>19.811132518849199</v>
      </c>
      <c r="K10" s="2">
        <v>29.161143631550001</v>
      </c>
      <c r="L10" s="2">
        <v>27.850439762876</v>
      </c>
      <c r="N10" s="1">
        <v>7</v>
      </c>
      <c r="O10" s="2">
        <v>4.0885201689999997</v>
      </c>
      <c r="P10" s="2">
        <v>4.0891155672281201</v>
      </c>
      <c r="Q10" s="2">
        <v>4.0878884722682303</v>
      </c>
      <c r="S10" s="2">
        <v>22.6888379540664</v>
      </c>
      <c r="T10" s="2">
        <v>18.971024740140699</v>
      </c>
      <c r="V10" s="1">
        <v>7</v>
      </c>
      <c r="W10" s="2">
        <v>15.20413956</v>
      </c>
      <c r="X10" s="2">
        <v>16.860853861617102</v>
      </c>
      <c r="Y10" s="2">
        <v>16.278900326299901</v>
      </c>
      <c r="AA10" s="2">
        <v>37.626550871160703</v>
      </c>
      <c r="AB10" s="2">
        <v>24.4445515873056</v>
      </c>
      <c r="AD10" s="1"/>
      <c r="AE10" s="1" t="s">
        <v>20</v>
      </c>
      <c r="AF10" s="1">
        <v>500</v>
      </c>
      <c r="AJ10" s="1">
        <v>7</v>
      </c>
      <c r="AK10" s="2">
        <v>9.6173200160662695</v>
      </c>
      <c r="AL10" s="2">
        <v>9.3988584236270896</v>
      </c>
      <c r="AM10" s="2">
        <v>12.1753080892362</v>
      </c>
      <c r="AO10" s="2">
        <v>194.181307257659</v>
      </c>
      <c r="AP10" s="2">
        <v>36159.2935195635</v>
      </c>
      <c r="AR10" s="1">
        <v>7</v>
      </c>
      <c r="AS10" s="2">
        <v>6.7821738830436704</v>
      </c>
      <c r="AT10" s="2">
        <v>6.6912594260576901</v>
      </c>
      <c r="AU10" s="2">
        <v>6.7388707185462602</v>
      </c>
      <c r="AW10" s="2">
        <v>196.08200392900801</v>
      </c>
      <c r="AX10" s="2">
        <v>16368.7092693916</v>
      </c>
      <c r="AZ10" s="1">
        <v>7</v>
      </c>
      <c r="BA10" s="2">
        <v>6.9034652294147199</v>
      </c>
      <c r="BB10" s="2">
        <v>7.1396086238867902</v>
      </c>
      <c r="BC10" s="2">
        <v>14.1202160668507</v>
      </c>
      <c r="BE10" s="2">
        <v>116.111173823065</v>
      </c>
      <c r="BF10" s="2">
        <v>31916.323778529499</v>
      </c>
      <c r="BI10" s="1" t="s">
        <v>20</v>
      </c>
      <c r="BJ10" s="1">
        <v>500</v>
      </c>
      <c r="BN10" s="1">
        <v>7</v>
      </c>
      <c r="BO10" s="2">
        <v>0.97844087272455504</v>
      </c>
      <c r="BP10" s="2">
        <v>0.83824007280129498</v>
      </c>
      <c r="BQ10" s="2">
        <v>0.92512375462836904</v>
      </c>
      <c r="BS10" s="2">
        <v>0.88571187494339898</v>
      </c>
      <c r="BT10" s="2">
        <v>0.83833510712860004</v>
      </c>
      <c r="BV10" s="1">
        <v>7</v>
      </c>
      <c r="BW10" s="2">
        <v>0.78291195858935403</v>
      </c>
      <c r="BX10" s="2">
        <v>0.78352143722719103</v>
      </c>
      <c r="BY10" s="2">
        <v>0.78472606828649705</v>
      </c>
      <c r="CA10" s="2">
        <v>0.91052748312230603</v>
      </c>
      <c r="CB10" s="2">
        <v>0.86350560467139503</v>
      </c>
      <c r="CD10" s="1">
        <v>7</v>
      </c>
      <c r="CE10" s="2">
        <v>1.25543503557817</v>
      </c>
      <c r="CF10" s="2">
        <v>1.06136231941513</v>
      </c>
      <c r="CG10" s="2">
        <v>1.74804890369556</v>
      </c>
      <c r="CI10" s="2">
        <v>1.0244266135812601</v>
      </c>
      <c r="CJ10" s="2">
        <v>0.86029917172019099</v>
      </c>
      <c r="CL10" s="1" t="s">
        <v>20</v>
      </c>
      <c r="CM10" s="1">
        <v>500</v>
      </c>
      <c r="CQ10" s="1">
        <v>7</v>
      </c>
      <c r="CR10" s="2">
        <v>1.37239397747509E-2</v>
      </c>
      <c r="CS10" s="2">
        <v>1.26279416096377E-2</v>
      </c>
      <c r="CT10" s="2">
        <v>1.21016560911377E-2</v>
      </c>
      <c r="CV10" s="2">
        <v>2.85943524569791E-2</v>
      </c>
      <c r="CY10" s="1">
        <v>7</v>
      </c>
      <c r="CZ10" s="2">
        <v>3.5150254755957497E-2</v>
      </c>
      <c r="DA10" s="2">
        <v>3.4873956247189197E-2</v>
      </c>
      <c r="DB10" s="2">
        <v>3.4840116245934298E-2</v>
      </c>
      <c r="DD10" s="2">
        <v>3.1867256195235401E-2</v>
      </c>
      <c r="DG10" s="1">
        <v>7</v>
      </c>
      <c r="DH10" s="2">
        <v>2.4619349338269002E-3</v>
      </c>
      <c r="DI10" s="2">
        <v>1.3813779782959001E-3</v>
      </c>
      <c r="DJ10" s="2">
        <v>8.218497111409E-4</v>
      </c>
      <c r="DL10" s="2">
        <v>3.00647884663327E-2</v>
      </c>
      <c r="DO10" s="1" t="s">
        <v>20</v>
      </c>
      <c r="DP10" s="1">
        <v>500</v>
      </c>
      <c r="DT10" s="1">
        <v>7</v>
      </c>
      <c r="DU10" s="2"/>
      <c r="DV10" s="2"/>
      <c r="DW10" s="2"/>
      <c r="DY10" s="2">
        <v>0.34023255411937797</v>
      </c>
      <c r="EB10" s="1">
        <v>7</v>
      </c>
      <c r="EC10" s="2"/>
      <c r="ED10" s="2"/>
      <c r="EE10" s="2"/>
      <c r="EG10" s="2">
        <v>0.363102493693507</v>
      </c>
      <c r="EJ10" s="1">
        <v>7</v>
      </c>
      <c r="EK10" s="2"/>
      <c r="EL10" s="2"/>
      <c r="EM10" s="2"/>
      <c r="EO10" s="2">
        <v>0.36933361911951801</v>
      </c>
    </row>
    <row r="11" spans="1:146" x14ac:dyDescent="0.25">
      <c r="A11" s="1" t="s">
        <v>15</v>
      </c>
      <c r="B11" s="1">
        <v>1</v>
      </c>
      <c r="F11" s="1">
        <v>8</v>
      </c>
      <c r="G11" s="2">
        <v>19.321385500000002</v>
      </c>
      <c r="H11" s="2">
        <v>18.5197893124339</v>
      </c>
      <c r="I11" s="2">
        <v>18.2054751726909</v>
      </c>
      <c r="K11" s="2">
        <v>29.455149733068701</v>
      </c>
      <c r="L11" s="2">
        <v>37.035768457805901</v>
      </c>
      <c r="N11" s="1">
        <v>8</v>
      </c>
      <c r="O11" s="2">
        <v>4.0843492919999997</v>
      </c>
      <c r="P11" s="2">
        <v>4.0718596876150803</v>
      </c>
      <c r="Q11" s="2">
        <v>4.0981491655548199</v>
      </c>
      <c r="S11" s="2">
        <v>23.000126782730099</v>
      </c>
      <c r="T11" s="2">
        <v>23.4845492091547</v>
      </c>
      <c r="V11" s="1">
        <v>8</v>
      </c>
      <c r="W11" s="2">
        <v>15.314267389999999</v>
      </c>
      <c r="X11" s="2">
        <v>14.5712565285911</v>
      </c>
      <c r="Y11" s="2">
        <v>14.3601157428789</v>
      </c>
      <c r="AA11" s="2">
        <v>37.758688172969798</v>
      </c>
      <c r="AB11" s="2">
        <v>31.223989244783599</v>
      </c>
      <c r="AD11" s="1"/>
      <c r="AE11" s="1" t="s">
        <v>15</v>
      </c>
      <c r="AF11" s="1">
        <v>1</v>
      </c>
      <c r="AJ11" s="1">
        <v>8</v>
      </c>
      <c r="AK11" s="2">
        <v>9.9238415545842091</v>
      </c>
      <c r="AL11" s="2">
        <v>9.7264382331297305</v>
      </c>
      <c r="AM11" s="2">
        <v>15.872022346921799</v>
      </c>
      <c r="AO11" s="2">
        <v>149.04519207644799</v>
      </c>
      <c r="AP11" s="2">
        <v>32373.0476984374</v>
      </c>
      <c r="AR11" s="1">
        <v>8</v>
      </c>
      <c r="AS11" s="2">
        <v>6.7553214507039696</v>
      </c>
      <c r="AT11" s="2">
        <v>6.7123823786767201</v>
      </c>
      <c r="AU11" s="2">
        <v>6.73978157550187</v>
      </c>
      <c r="AW11" s="2">
        <v>164.742213237248</v>
      </c>
      <c r="AX11" s="2">
        <v>20935.513304782999</v>
      </c>
      <c r="AZ11" s="1">
        <v>8</v>
      </c>
      <c r="BA11" s="2">
        <v>8.6194845627230503</v>
      </c>
      <c r="BB11" s="2">
        <v>7.4098391244314001</v>
      </c>
      <c r="BC11" s="2">
        <v>16.503661344412802</v>
      </c>
      <c r="BE11" s="2">
        <v>103.817971516819</v>
      </c>
      <c r="BF11" s="2">
        <v>30509.915511192099</v>
      </c>
      <c r="BI11" s="1" t="s">
        <v>15</v>
      </c>
      <c r="BJ11" s="1">
        <v>1</v>
      </c>
      <c r="BN11" s="1">
        <v>8</v>
      </c>
      <c r="BO11" s="2">
        <v>0.89424259024019204</v>
      </c>
      <c r="BP11" s="2">
        <v>0.82728362187121396</v>
      </c>
      <c r="BQ11" s="2">
        <v>0.92367223103924301</v>
      </c>
      <c r="BS11" s="2">
        <v>0.80140681472556197</v>
      </c>
      <c r="BT11" s="2">
        <v>0.84325631291048497</v>
      </c>
      <c r="BV11" s="1">
        <v>8</v>
      </c>
      <c r="BW11" s="2">
        <v>0.78361607552288703</v>
      </c>
      <c r="BX11" s="2">
        <v>0.78292155656441598</v>
      </c>
      <c r="BY11" s="2">
        <v>0.78505909899249304</v>
      </c>
      <c r="CA11" s="2">
        <v>0.86523162798502296</v>
      </c>
      <c r="CB11" s="2">
        <v>0.86436002919571897</v>
      </c>
      <c r="CD11" s="1">
        <v>8</v>
      </c>
      <c r="CE11" s="2">
        <v>1.1341224011853901</v>
      </c>
      <c r="CF11" s="2">
        <v>1.02925782222192</v>
      </c>
      <c r="CG11" s="2">
        <v>1.6848171841400399</v>
      </c>
      <c r="CI11" s="2">
        <v>0.90007570250906199</v>
      </c>
      <c r="CJ11" s="2">
        <v>0.86568606258807601</v>
      </c>
      <c r="CL11" s="1" t="s">
        <v>15</v>
      </c>
      <c r="CM11" s="1">
        <v>1</v>
      </c>
      <c r="CQ11" s="1">
        <v>8</v>
      </c>
      <c r="CR11" s="2">
        <v>1.32259599084946E-2</v>
      </c>
      <c r="CS11" s="2">
        <v>1.21779812410061E-2</v>
      </c>
      <c r="CT11" s="2">
        <v>1.2089490497095999E-2</v>
      </c>
      <c r="CV11" s="2">
        <v>2.8724703344673998E-2</v>
      </c>
      <c r="CY11" s="1">
        <v>8</v>
      </c>
      <c r="CZ11" s="2">
        <v>3.4951285133058597E-2</v>
      </c>
      <c r="DA11" s="2">
        <v>3.4900993188455597E-2</v>
      </c>
      <c r="DB11" s="2">
        <v>3.4893832247444898E-2</v>
      </c>
      <c r="DD11" s="2">
        <v>3.1853829713809102E-2</v>
      </c>
      <c r="DG11" s="1">
        <v>8</v>
      </c>
      <c r="DH11" s="2">
        <v>2.3555906449270001E-3</v>
      </c>
      <c r="DI11" s="2">
        <v>9.6065183987180001E-4</v>
      </c>
      <c r="DJ11" s="2">
        <v>7.7584765531489997E-4</v>
      </c>
      <c r="DL11" s="2">
        <v>3.8577279920978098E-2</v>
      </c>
      <c r="DO11" s="1" t="s">
        <v>15</v>
      </c>
      <c r="DP11" s="1">
        <v>1</v>
      </c>
      <c r="DT11" s="1">
        <v>8</v>
      </c>
      <c r="DU11" s="2"/>
      <c r="DV11" s="2"/>
      <c r="DW11" s="2"/>
      <c r="DY11" s="2">
        <v>0.38189364461078701</v>
      </c>
      <c r="EB11" s="1">
        <v>8</v>
      </c>
      <c r="EC11" s="2"/>
      <c r="ED11" s="2"/>
      <c r="EE11" s="2"/>
      <c r="EG11" s="2">
        <v>0.36761192498137502</v>
      </c>
      <c r="EJ11" s="1">
        <v>8</v>
      </c>
      <c r="EK11" s="2"/>
      <c r="EL11" s="2"/>
      <c r="EM11" s="2"/>
      <c r="EO11" s="2">
        <v>0.39743414027901802</v>
      </c>
    </row>
    <row r="12" spans="1:146" x14ac:dyDescent="0.25">
      <c r="F12" s="1">
        <v>9</v>
      </c>
      <c r="G12" s="2">
        <v>15.435806319999999</v>
      </c>
      <c r="H12" s="2">
        <v>15.5671874899825</v>
      </c>
      <c r="I12" s="2">
        <v>20.404108299964101</v>
      </c>
      <c r="K12" s="2">
        <v>29.354426575681</v>
      </c>
      <c r="L12" s="2">
        <v>25.003657385913201</v>
      </c>
      <c r="N12" s="1">
        <v>9</v>
      </c>
      <c r="O12" s="2">
        <v>4.0909472740000004</v>
      </c>
      <c r="P12" s="2">
        <v>4.08011967784328</v>
      </c>
      <c r="Q12" s="2">
        <v>4.0977771036157904</v>
      </c>
      <c r="S12" s="2">
        <v>23.227089496394001</v>
      </c>
      <c r="T12" s="2">
        <v>16.997184011251999</v>
      </c>
      <c r="V12" s="1">
        <v>9</v>
      </c>
      <c r="W12" s="2">
        <v>12.61235351</v>
      </c>
      <c r="X12" s="2">
        <v>12.600305525986601</v>
      </c>
      <c r="Y12" s="2">
        <v>18.117818649250101</v>
      </c>
      <c r="AA12" s="2">
        <v>37.712468260174198</v>
      </c>
      <c r="AB12" s="2">
        <v>28.264377569313901</v>
      </c>
      <c r="AD12" s="1"/>
      <c r="AJ12" s="1">
        <v>9</v>
      </c>
      <c r="AK12" s="2">
        <v>9.2943499508241008</v>
      </c>
      <c r="AL12" s="2">
        <v>11.8100192821167</v>
      </c>
      <c r="AM12" s="2">
        <v>14.54387654532</v>
      </c>
      <c r="AO12" s="2">
        <v>177.122592924157</v>
      </c>
      <c r="AP12" s="2">
        <v>24504.899853493898</v>
      </c>
      <c r="AR12" s="1">
        <v>9</v>
      </c>
      <c r="AS12" s="2">
        <v>6.72539614237437</v>
      </c>
      <c r="AT12" s="2">
        <v>6.7771843891290802</v>
      </c>
      <c r="AU12" s="2">
        <v>6.7419235256750998</v>
      </c>
      <c r="AW12" s="2">
        <v>166.279558929193</v>
      </c>
      <c r="AX12" s="2">
        <v>10679.2962991083</v>
      </c>
      <c r="AZ12" s="1">
        <v>9</v>
      </c>
      <c r="BA12" s="2">
        <v>6.40283803486951</v>
      </c>
      <c r="BB12" s="2">
        <v>11.2426999878384</v>
      </c>
      <c r="BC12" s="2">
        <v>13.4492194393868</v>
      </c>
      <c r="BE12" s="2">
        <v>107.08609893086199</v>
      </c>
      <c r="BF12" s="2">
        <v>27237.207281610899</v>
      </c>
      <c r="BN12" s="1">
        <v>9</v>
      </c>
      <c r="BO12" s="2">
        <v>0.82036525455309595</v>
      </c>
      <c r="BP12" s="2">
        <v>0.82038886487995</v>
      </c>
      <c r="BQ12" s="2">
        <v>0.89120991280525697</v>
      </c>
      <c r="BS12" s="2">
        <v>0.82053093503069097</v>
      </c>
      <c r="BT12" s="2">
        <v>0.87399174665872403</v>
      </c>
      <c r="BV12" s="1">
        <v>9</v>
      </c>
      <c r="BW12" s="2">
        <v>0.78548294685333098</v>
      </c>
      <c r="BX12" s="2">
        <v>0.78398036023833795</v>
      </c>
      <c r="BY12" s="2">
        <v>0.78464468692298395</v>
      </c>
      <c r="CA12" s="2">
        <v>0.88754550797658205</v>
      </c>
      <c r="CB12" s="2">
        <v>0.86338610924310899</v>
      </c>
      <c r="CD12" s="1">
        <v>9</v>
      </c>
      <c r="CE12" s="2">
        <v>1.1706127365172401</v>
      </c>
      <c r="CF12" s="2">
        <v>1.0435183027508701</v>
      </c>
      <c r="CG12" s="2">
        <v>1.6624716382145399</v>
      </c>
      <c r="CI12" s="2">
        <v>0.96290839398277095</v>
      </c>
      <c r="CJ12" s="2">
        <v>0.88517408992987801</v>
      </c>
      <c r="CQ12" s="1">
        <v>9</v>
      </c>
      <c r="CR12" s="2">
        <v>1.4230305047169E-2</v>
      </c>
      <c r="CS12" s="2">
        <v>1.26571351244835E-2</v>
      </c>
      <c r="CT12" s="2">
        <v>1.20971517877984E-2</v>
      </c>
      <c r="CV12" s="2">
        <v>2.64835369961628E-2</v>
      </c>
      <c r="CY12" s="1">
        <v>9</v>
      </c>
      <c r="CZ12" s="2">
        <v>3.5060874490689398E-2</v>
      </c>
      <c r="DA12" s="2">
        <v>3.4931295525306501E-2</v>
      </c>
      <c r="DB12" s="2">
        <v>3.4853088185671101E-2</v>
      </c>
      <c r="DD12" s="2">
        <v>3.0739329186771702E-2</v>
      </c>
      <c r="DG12" s="1">
        <v>9</v>
      </c>
      <c r="DH12" s="2">
        <v>2.9194304798136998E-3</v>
      </c>
      <c r="DI12" s="2">
        <v>1.5052758265111999E-3</v>
      </c>
      <c r="DJ12" s="2">
        <v>7.8570882601999999E-4</v>
      </c>
      <c r="DL12" s="2">
        <v>3.04174706869508E-2</v>
      </c>
      <c r="DT12" s="1">
        <v>9</v>
      </c>
      <c r="DU12" s="2"/>
      <c r="DV12" s="2"/>
      <c r="DW12" s="2"/>
      <c r="DY12" s="2">
        <v>0.33675574885937598</v>
      </c>
      <c r="EB12" s="1">
        <v>9</v>
      </c>
      <c r="EC12" s="2"/>
      <c r="ED12" s="2"/>
      <c r="EE12" s="2"/>
      <c r="EG12" s="2">
        <v>0.35061677440017203</v>
      </c>
      <c r="EJ12" s="1">
        <v>9</v>
      </c>
      <c r="EK12" s="2"/>
      <c r="EL12" s="2"/>
      <c r="EM12" s="2"/>
      <c r="EO12" s="2">
        <v>0.39413010442673202</v>
      </c>
    </row>
    <row r="13" spans="1:146" x14ac:dyDescent="0.25">
      <c r="F13" s="1">
        <v>10</v>
      </c>
      <c r="G13" s="2">
        <v>19.788289079999998</v>
      </c>
      <c r="H13" s="2">
        <v>17.573130103762502</v>
      </c>
      <c r="I13" s="2">
        <v>18.9758252652978</v>
      </c>
      <c r="K13" s="2">
        <v>29.5168556330079</v>
      </c>
      <c r="L13" s="2">
        <v>22.176347343342499</v>
      </c>
      <c r="N13" s="1">
        <v>10</v>
      </c>
      <c r="O13" s="2">
        <v>4.0851907690000004</v>
      </c>
      <c r="P13" s="2">
        <v>4.0828370513892098</v>
      </c>
      <c r="Q13" s="2">
        <v>4.08687130733251</v>
      </c>
      <c r="S13" s="2">
        <v>22.952371495438101</v>
      </c>
      <c r="T13" s="2">
        <v>17.257405730239199</v>
      </c>
      <c r="V13" s="1">
        <v>10</v>
      </c>
      <c r="W13" s="2">
        <v>15.56677775</v>
      </c>
      <c r="X13" s="2">
        <v>13.8325562332241</v>
      </c>
      <c r="Y13" s="2">
        <v>16.7087942684803</v>
      </c>
      <c r="AA13" s="2">
        <v>37.5511776923219</v>
      </c>
      <c r="AB13" s="2">
        <v>25.590375507527298</v>
      </c>
      <c r="AD13" s="1"/>
      <c r="AJ13" s="1">
        <v>10</v>
      </c>
      <c r="AK13" s="2">
        <v>11.235300868685499</v>
      </c>
      <c r="AL13" s="2">
        <v>10.060950047578</v>
      </c>
      <c r="AM13" s="2">
        <v>11.006364103606201</v>
      </c>
      <c r="AO13" s="2">
        <v>211.06552076569</v>
      </c>
      <c r="AP13" s="2">
        <v>35083.064356903596</v>
      </c>
      <c r="AR13" s="1">
        <v>10</v>
      </c>
      <c r="AS13" s="2">
        <v>6.7434342751826497</v>
      </c>
      <c r="AT13" s="2">
        <v>6.74617757938121</v>
      </c>
      <c r="AU13" s="2">
        <v>6.7410870582469196</v>
      </c>
      <c r="AW13" s="2">
        <v>198.63693726512901</v>
      </c>
      <c r="AX13" s="2">
        <v>19925.395122994702</v>
      </c>
      <c r="AZ13" s="1">
        <v>10</v>
      </c>
      <c r="BA13" s="2">
        <v>9.9909378140205494</v>
      </c>
      <c r="BB13" s="2">
        <v>7.4860185257844298</v>
      </c>
      <c r="BC13" s="2">
        <v>11.433475031688401</v>
      </c>
      <c r="BE13" s="2">
        <v>128.569872804434</v>
      </c>
      <c r="BF13" s="2">
        <v>31156.505251189301</v>
      </c>
      <c r="BN13" s="1">
        <v>10</v>
      </c>
      <c r="BO13" s="2">
        <v>0.90639474035474998</v>
      </c>
      <c r="BP13" s="2">
        <v>0.83332655902159503</v>
      </c>
      <c r="BQ13" s="2">
        <v>0.90740779717545395</v>
      </c>
      <c r="BS13" s="2">
        <v>0.81946816817018597</v>
      </c>
      <c r="BT13" s="2">
        <v>0.83924417535825102</v>
      </c>
      <c r="BV13" s="1">
        <v>10</v>
      </c>
      <c r="BW13" s="2">
        <v>0.781847245539528</v>
      </c>
      <c r="BX13" s="2">
        <v>0.78371610501322997</v>
      </c>
      <c r="BY13" s="2">
        <v>0.78542792646703297</v>
      </c>
      <c r="CA13" s="2">
        <v>0.94418232148620795</v>
      </c>
      <c r="CB13" s="2">
        <v>0.86421576883238005</v>
      </c>
      <c r="CD13" s="1">
        <v>10</v>
      </c>
      <c r="CE13" s="2">
        <v>1.2002845142148699</v>
      </c>
      <c r="CF13" s="2">
        <v>1.04309587342943</v>
      </c>
      <c r="CG13" s="2">
        <v>1.67633745149199</v>
      </c>
      <c r="CI13" s="2">
        <v>0.95493419625278797</v>
      </c>
      <c r="CJ13" s="2">
        <v>0.866063597522165</v>
      </c>
      <c r="CQ13" s="1">
        <v>10</v>
      </c>
      <c r="CR13" s="2">
        <v>1.32641808073407E-2</v>
      </c>
      <c r="CS13" s="2">
        <v>1.3065273370466699E-2</v>
      </c>
      <c r="CT13" s="2">
        <v>1.2324718258687001E-2</v>
      </c>
      <c r="CV13" s="2">
        <v>2.0683206802391899E-2</v>
      </c>
      <c r="CY13" s="1">
        <v>10</v>
      </c>
      <c r="CZ13" s="2">
        <v>3.4897638093602197E-2</v>
      </c>
      <c r="DA13" s="2">
        <v>3.4969214765617603E-2</v>
      </c>
      <c r="DB13" s="2">
        <v>3.4905014377996903E-2</v>
      </c>
      <c r="DD13" s="2">
        <v>2.7602334874392901E-2</v>
      </c>
      <c r="DG13" s="1">
        <v>10</v>
      </c>
      <c r="DH13" s="2">
        <v>2.6551807939607999E-3</v>
      </c>
      <c r="DI13" s="2">
        <v>1.8682857891837001E-3</v>
      </c>
      <c r="DJ13" s="2">
        <v>1.0421887981010001E-3</v>
      </c>
      <c r="DL13" s="2">
        <v>3.2697054997641702E-2</v>
      </c>
      <c r="DT13" s="1">
        <v>10</v>
      </c>
      <c r="DU13" s="2"/>
      <c r="DV13" s="2"/>
      <c r="DW13" s="2"/>
      <c r="DY13" s="2">
        <v>0.34425866037281699</v>
      </c>
      <c r="EB13" s="1">
        <v>10</v>
      </c>
      <c r="EC13" s="2"/>
      <c r="ED13" s="2"/>
      <c r="EE13" s="2"/>
      <c r="EG13" s="2">
        <v>0.33090592281522502</v>
      </c>
      <c r="EJ13" s="1">
        <v>10</v>
      </c>
      <c r="EK13" s="2"/>
      <c r="EL13" s="2"/>
      <c r="EM13" s="2"/>
      <c r="EO13" s="2">
        <v>0.39203255283939498</v>
      </c>
    </row>
    <row r="14" spans="1:146" x14ac:dyDescent="0.25">
      <c r="F14" s="1">
        <v>11</v>
      </c>
      <c r="G14" s="2">
        <v>17.842378979999999</v>
      </c>
      <c r="H14" s="2">
        <v>18.060443369862099</v>
      </c>
      <c r="I14" s="2">
        <v>22.094899819853399</v>
      </c>
      <c r="K14" s="2">
        <v>29.2281448155295</v>
      </c>
      <c r="L14" s="2">
        <v>21.3935286415185</v>
      </c>
      <c r="N14" s="1">
        <v>11</v>
      </c>
      <c r="O14" s="2">
        <v>4.0845369180000004</v>
      </c>
      <c r="P14" s="2">
        <v>4.08154324297701</v>
      </c>
      <c r="Q14" s="2">
        <v>4.0870888191478301</v>
      </c>
      <c r="S14" s="2">
        <v>23.089545353370099</v>
      </c>
      <c r="T14" s="2">
        <v>18.741519260577999</v>
      </c>
      <c r="V14" s="1">
        <v>11</v>
      </c>
      <c r="W14" s="2">
        <v>14.545839689999999</v>
      </c>
      <c r="X14" s="2">
        <v>14.130204870301901</v>
      </c>
      <c r="Y14" s="2">
        <v>19.333861127864299</v>
      </c>
      <c r="AA14" s="2">
        <v>37.581538684484698</v>
      </c>
      <c r="AB14" s="2">
        <v>27.0081827398187</v>
      </c>
      <c r="AD14" s="1"/>
      <c r="AJ14" s="1">
        <v>11</v>
      </c>
      <c r="AK14" s="2">
        <v>9.0459394402413906</v>
      </c>
      <c r="AL14" s="2">
        <v>10.378138576265</v>
      </c>
      <c r="AM14" s="2">
        <v>11.0498934294053</v>
      </c>
      <c r="AO14" s="2">
        <v>204.247706338591</v>
      </c>
      <c r="AP14" s="2">
        <v>31132.538008135602</v>
      </c>
      <c r="AR14" s="1">
        <v>11</v>
      </c>
      <c r="AS14" s="2">
        <v>6.7351567017224099</v>
      </c>
      <c r="AT14" s="2">
        <v>6.7819536848036304</v>
      </c>
      <c r="AU14" s="2">
        <v>6.7356267109709496</v>
      </c>
      <c r="AW14" s="2">
        <v>210.52240181148801</v>
      </c>
      <c r="AX14" s="2">
        <v>14829.0829712873</v>
      </c>
      <c r="AZ14" s="1">
        <v>11</v>
      </c>
      <c r="BA14" s="2">
        <v>6.5900433231480999</v>
      </c>
      <c r="BB14" s="2">
        <v>7.8160171415898096</v>
      </c>
      <c r="BC14" s="2">
        <v>10.5343439306017</v>
      </c>
      <c r="BE14" s="2">
        <v>123.182350024616</v>
      </c>
      <c r="BF14" s="2">
        <v>28332.7968597004</v>
      </c>
      <c r="BN14" s="1">
        <v>11</v>
      </c>
      <c r="BO14" s="2">
        <v>0.82686048787688504</v>
      </c>
      <c r="BP14" s="2">
        <v>0.86930470724498599</v>
      </c>
      <c r="BQ14" s="2">
        <v>0.89662047268256795</v>
      </c>
      <c r="BS14" s="2">
        <v>0.73927345364957797</v>
      </c>
      <c r="BT14" s="2">
        <v>0.84426204746595801</v>
      </c>
      <c r="BV14" s="1">
        <v>11</v>
      </c>
      <c r="BW14" s="2">
        <v>0.78385146921551496</v>
      </c>
      <c r="BX14" s="2">
        <v>0.78275150239490499</v>
      </c>
      <c r="BY14" s="2">
        <v>0.78431802008585105</v>
      </c>
      <c r="CA14" s="2">
        <v>0.88010952183943503</v>
      </c>
      <c r="CB14" s="2">
        <v>0.86715949956143101</v>
      </c>
      <c r="CD14" s="1">
        <v>11</v>
      </c>
      <c r="CE14" s="2">
        <v>1.1026804908808601</v>
      </c>
      <c r="CF14" s="2">
        <v>1.10259563610142</v>
      </c>
      <c r="CG14" s="2">
        <v>1.6347465125748599</v>
      </c>
      <c r="CI14" s="2">
        <v>0.85262352814934295</v>
      </c>
      <c r="CJ14" s="2">
        <v>0.87105568820470403</v>
      </c>
      <c r="CQ14" s="1">
        <v>11</v>
      </c>
      <c r="CR14" s="2">
        <v>1.2727149536948101E-2</v>
      </c>
      <c r="CS14" s="2">
        <v>1.2507301960468301E-2</v>
      </c>
      <c r="CT14" s="2">
        <v>1.19356228503087E-2</v>
      </c>
      <c r="CV14" s="2">
        <v>2.24589237162095E-2</v>
      </c>
      <c r="CY14" s="1">
        <v>11</v>
      </c>
      <c r="CZ14" s="2">
        <v>3.4982234454154999E-2</v>
      </c>
      <c r="DA14" s="2">
        <v>3.4900163945778301E-2</v>
      </c>
      <c r="DB14" s="2">
        <v>3.47605563228627E-2</v>
      </c>
      <c r="DD14" s="2">
        <v>2.9553050569057E-2</v>
      </c>
      <c r="DG14" s="1">
        <v>11</v>
      </c>
      <c r="DH14" s="2">
        <v>1.6690299478955E-3</v>
      </c>
      <c r="DI14" s="2">
        <v>1.1465345115178999E-3</v>
      </c>
      <c r="DJ14" s="2">
        <v>9.9820807007519998E-4</v>
      </c>
      <c r="DL14" s="2">
        <v>3.0410381835342198E-2</v>
      </c>
      <c r="DT14" s="1">
        <v>11</v>
      </c>
      <c r="DU14" s="2"/>
      <c r="DV14" s="2"/>
      <c r="DW14" s="2"/>
      <c r="DY14" s="2">
        <v>0.389195332120366</v>
      </c>
      <c r="EB14" s="1">
        <v>11</v>
      </c>
      <c r="EC14" s="2"/>
      <c r="ED14" s="2"/>
      <c r="EE14" s="2"/>
      <c r="EG14" s="2">
        <v>0.36870586628909802</v>
      </c>
      <c r="EJ14" s="1">
        <v>11</v>
      </c>
      <c r="EK14" s="2"/>
      <c r="EL14" s="2"/>
      <c r="EM14" s="2"/>
      <c r="EO14" s="2">
        <v>0.39105998159650601</v>
      </c>
    </row>
    <row r="15" spans="1:146" x14ac:dyDescent="0.25">
      <c r="F15" s="1">
        <v>12</v>
      </c>
      <c r="G15" s="2">
        <v>19.44112415</v>
      </c>
      <c r="H15" s="2">
        <v>19.459525258229501</v>
      </c>
      <c r="I15" s="2">
        <v>30.871576069696602</v>
      </c>
      <c r="K15" s="2">
        <v>31.878735910260801</v>
      </c>
      <c r="L15" s="2">
        <v>52.303695366980001</v>
      </c>
      <c r="N15" s="1">
        <v>12</v>
      </c>
      <c r="O15" s="2">
        <v>4.0841838419999998</v>
      </c>
      <c r="P15" s="2">
        <v>4.0812206701885101</v>
      </c>
      <c r="Q15" s="2">
        <v>4.0951883597567997</v>
      </c>
      <c r="S15" s="2">
        <v>23.973155491714</v>
      </c>
      <c r="T15" s="2">
        <v>21.0778692087829</v>
      </c>
      <c r="V15" s="1">
        <v>12</v>
      </c>
      <c r="W15" s="2">
        <v>15.38436418</v>
      </c>
      <c r="X15" s="2">
        <v>14.9231682662554</v>
      </c>
      <c r="Y15" s="2">
        <v>25.8508989421344</v>
      </c>
      <c r="AA15" s="2">
        <v>39.808478878014299</v>
      </c>
      <c r="AB15" s="2">
        <v>40.977268360050601</v>
      </c>
      <c r="AD15" s="1"/>
      <c r="AJ15" s="1">
        <v>12</v>
      </c>
      <c r="AK15" s="2">
        <v>10.624997364794099</v>
      </c>
      <c r="AL15" s="2">
        <v>9.3675320522898495</v>
      </c>
      <c r="AM15" s="2">
        <v>10.438313987322701</v>
      </c>
      <c r="AO15" s="2">
        <v>184.15304482942199</v>
      </c>
      <c r="AP15" s="2">
        <v>34514.0781344891</v>
      </c>
      <c r="AR15" s="1">
        <v>12</v>
      </c>
      <c r="AS15" s="2">
        <v>6.7543580701677497</v>
      </c>
      <c r="AT15" s="2">
        <v>6.71522432414368</v>
      </c>
      <c r="AU15" s="2">
        <v>6.7498774979613199</v>
      </c>
      <c r="AW15" s="2">
        <v>172.45565345672301</v>
      </c>
      <c r="AX15" s="2">
        <v>24965.5050882875</v>
      </c>
      <c r="AZ15" s="1">
        <v>12</v>
      </c>
      <c r="BA15" s="2">
        <v>8.49344621912193</v>
      </c>
      <c r="BB15" s="2">
        <v>6.9748540098459904</v>
      </c>
      <c r="BC15" s="2">
        <v>11.917778718251</v>
      </c>
      <c r="BE15" s="2">
        <v>110.502220306601</v>
      </c>
      <c r="BF15" s="2">
        <v>31510.4786691269</v>
      </c>
      <c r="BN15" s="1">
        <v>12</v>
      </c>
      <c r="BO15" s="2">
        <v>0.84583212577837097</v>
      </c>
      <c r="BP15" s="2">
        <v>0.82712469834383495</v>
      </c>
      <c r="BQ15" s="2">
        <v>0.88998744989804301</v>
      </c>
      <c r="BS15" s="2">
        <v>0.80257788311999601</v>
      </c>
      <c r="BT15" s="2">
        <v>0.84631316355058295</v>
      </c>
      <c r="BV15" s="1">
        <v>12</v>
      </c>
      <c r="BW15" s="2">
        <v>0.78261778745484201</v>
      </c>
      <c r="BX15" s="2">
        <v>0.78308678029899503</v>
      </c>
      <c r="BY15" s="2">
        <v>0.78501334202116102</v>
      </c>
      <c r="CA15" s="2">
        <v>0.88732610328072803</v>
      </c>
      <c r="CB15" s="2">
        <v>0.86372976052457695</v>
      </c>
      <c r="CD15" s="1">
        <v>12</v>
      </c>
      <c r="CE15" s="2">
        <v>1.21226847604556</v>
      </c>
      <c r="CF15" s="2">
        <v>1.0911410684165599</v>
      </c>
      <c r="CG15" s="2">
        <v>1.6269726122308601</v>
      </c>
      <c r="CI15" s="2">
        <v>0.84666035847644106</v>
      </c>
      <c r="CJ15" s="2">
        <v>0.86686092271822601</v>
      </c>
      <c r="CQ15" s="1">
        <v>12</v>
      </c>
      <c r="CR15" s="2">
        <v>1.2201773245990101E-2</v>
      </c>
      <c r="CS15" s="2">
        <v>1.2698183640298099E-2</v>
      </c>
      <c r="CT15" s="2">
        <v>1.19454559641169E-2</v>
      </c>
      <c r="CV15" s="2">
        <v>2.9562420912168801E-2</v>
      </c>
      <c r="CY15" s="1">
        <v>12</v>
      </c>
      <c r="CZ15" s="2">
        <v>3.4912791950896999E-2</v>
      </c>
      <c r="DA15" s="2">
        <v>3.49478475293191E-2</v>
      </c>
      <c r="DB15" s="2">
        <v>3.4860532406854897E-2</v>
      </c>
      <c r="DD15" s="2">
        <v>3.1445487085183403E-2</v>
      </c>
      <c r="DG15" s="1">
        <v>12</v>
      </c>
      <c r="DH15" s="2">
        <v>1.1286303789521E-3</v>
      </c>
      <c r="DI15" s="2">
        <v>1.408482063278E-3</v>
      </c>
      <c r="DJ15" s="2">
        <v>9.2886487006929998E-4</v>
      </c>
      <c r="DL15" s="2">
        <v>3.6359795932294901E-2</v>
      </c>
      <c r="DT15" s="1">
        <v>12</v>
      </c>
      <c r="DU15" s="2"/>
      <c r="DV15" s="2"/>
      <c r="DW15" s="2"/>
      <c r="DY15" s="2">
        <v>0.355570159398722</v>
      </c>
      <c r="EB15" s="1">
        <v>12</v>
      </c>
      <c r="EC15" s="2"/>
      <c r="ED15" s="2"/>
      <c r="EE15" s="2"/>
      <c r="EG15" s="2">
        <v>0.35424685324924099</v>
      </c>
      <c r="EJ15" s="1">
        <v>12</v>
      </c>
      <c r="EK15" s="2"/>
      <c r="EL15" s="2"/>
      <c r="EM15" s="2"/>
      <c r="EO15" s="2">
        <v>0.37477184795850998</v>
      </c>
    </row>
    <row r="16" spans="1:146" x14ac:dyDescent="0.25">
      <c r="F16" s="1">
        <v>13</v>
      </c>
      <c r="G16" s="2">
        <v>20.670720020000001</v>
      </c>
      <c r="H16" s="2">
        <v>18.4088015522596</v>
      </c>
      <c r="I16" s="2">
        <v>29.4301114147062</v>
      </c>
      <c r="K16" s="2">
        <v>29.8703529185394</v>
      </c>
      <c r="L16" s="2">
        <v>21.6991332712123</v>
      </c>
      <c r="N16" s="1">
        <v>13</v>
      </c>
      <c r="O16" s="2">
        <v>4.0819203059999998</v>
      </c>
      <c r="P16" s="2">
        <v>4.0814878542927504</v>
      </c>
      <c r="Q16" s="2">
        <v>4.08749706255999</v>
      </c>
      <c r="S16" s="2">
        <v>23.5186475927602</v>
      </c>
      <c r="T16" s="2">
        <v>16.3416179539696</v>
      </c>
      <c r="V16" s="1">
        <v>13</v>
      </c>
      <c r="W16" s="2">
        <v>15.69636006</v>
      </c>
      <c r="X16" s="2">
        <v>14.8014823619836</v>
      </c>
      <c r="Y16" s="2">
        <v>25.734960542822598</v>
      </c>
      <c r="AA16" s="2">
        <v>38.237821975655301</v>
      </c>
      <c r="AB16" s="2">
        <v>21.347182810936701</v>
      </c>
      <c r="AD16" s="1"/>
      <c r="AJ16" s="1">
        <v>13</v>
      </c>
      <c r="AK16" s="2">
        <v>9.7516201228495092</v>
      </c>
      <c r="AL16" s="2">
        <v>10.106201617153401</v>
      </c>
      <c r="AM16" s="2">
        <v>10.4674677090521</v>
      </c>
      <c r="AO16" s="2">
        <v>161.56585103896799</v>
      </c>
      <c r="AP16" s="2">
        <v>38367.894664175401</v>
      </c>
      <c r="AR16" s="1">
        <v>13</v>
      </c>
      <c r="AS16" s="2">
        <v>6.7723700890630001</v>
      </c>
      <c r="AT16" s="2">
        <v>6.7302656454087302</v>
      </c>
      <c r="AU16" s="2">
        <v>6.7341211082802097</v>
      </c>
      <c r="AW16" s="2">
        <v>164.24352524291601</v>
      </c>
      <c r="AX16" s="2">
        <v>19966.1879356502</v>
      </c>
      <c r="AZ16" s="1">
        <v>13</v>
      </c>
      <c r="BA16" s="2">
        <v>7.7994434140487998</v>
      </c>
      <c r="BB16" s="2">
        <v>7.40707662327452</v>
      </c>
      <c r="BC16" s="2">
        <v>10.030690977439701</v>
      </c>
      <c r="BE16" s="2">
        <v>101.031733540093</v>
      </c>
      <c r="BF16" s="2">
        <v>32128.435899690801</v>
      </c>
      <c r="BN16" s="1">
        <v>13</v>
      </c>
      <c r="BO16" s="2">
        <v>0.88420977508380105</v>
      </c>
      <c r="BP16" s="2">
        <v>0.83856425464028195</v>
      </c>
      <c r="BQ16" s="2">
        <v>0.88947501954105201</v>
      </c>
      <c r="BS16" s="2">
        <v>0.92076312892595302</v>
      </c>
      <c r="BT16" s="2">
        <v>0.84902171053924302</v>
      </c>
      <c r="BV16" s="1">
        <v>13</v>
      </c>
      <c r="BW16" s="2">
        <v>0.78159401761602798</v>
      </c>
      <c r="BX16" s="2">
        <v>0.78321276336386503</v>
      </c>
      <c r="BY16" s="2">
        <v>0.78244043801565499</v>
      </c>
      <c r="CA16" s="2">
        <v>0.89774944581135896</v>
      </c>
      <c r="CB16" s="2">
        <v>0.86593406163644704</v>
      </c>
      <c r="CD16" s="1">
        <v>13</v>
      </c>
      <c r="CE16" s="2">
        <v>1.1671806910938001</v>
      </c>
      <c r="CF16" s="2">
        <v>1.0767782875187999</v>
      </c>
      <c r="CG16" s="2">
        <v>1.6871433775895801</v>
      </c>
      <c r="CI16" s="2">
        <v>0.87991808791095305</v>
      </c>
      <c r="CJ16" s="2">
        <v>0.87233766850463001</v>
      </c>
      <c r="CQ16" s="1">
        <v>13</v>
      </c>
      <c r="CR16" s="2">
        <v>1.38799687151987E-2</v>
      </c>
      <c r="CS16" s="2">
        <v>1.22295333803957E-2</v>
      </c>
      <c r="CT16" s="2">
        <v>1.2186383843575101E-2</v>
      </c>
      <c r="CV16" s="2">
        <v>3.1232287898414101E-2</v>
      </c>
      <c r="CY16" s="1">
        <v>13</v>
      </c>
      <c r="CZ16" s="2">
        <v>3.4928244289820699E-2</v>
      </c>
      <c r="DA16" s="2">
        <v>3.4902091806899398E-2</v>
      </c>
      <c r="DB16" s="2">
        <v>3.4837161917176902E-2</v>
      </c>
      <c r="DD16" s="2">
        <v>3.1227213456891199E-2</v>
      </c>
      <c r="DG16" s="1">
        <v>13</v>
      </c>
      <c r="DH16" s="2">
        <v>3.1702477588919E-3</v>
      </c>
      <c r="DI16" s="2">
        <v>6.611133201079E-4</v>
      </c>
      <c r="DJ16" s="2">
        <v>7.451217221966E-4</v>
      </c>
      <c r="DL16" s="2">
        <v>3.1306137575922599E-2</v>
      </c>
      <c r="DT16" s="1">
        <v>13</v>
      </c>
      <c r="DU16" s="2"/>
      <c r="DV16" s="2"/>
      <c r="DW16" s="2"/>
      <c r="DY16" s="2">
        <v>0.35238211299630401</v>
      </c>
      <c r="EB16" s="1">
        <v>13</v>
      </c>
      <c r="EC16" s="2"/>
      <c r="ED16" s="2"/>
      <c r="EE16" s="2"/>
      <c r="EG16" s="2">
        <v>0.34537574945621902</v>
      </c>
      <c r="EJ16" s="1">
        <v>13</v>
      </c>
      <c r="EK16" s="2"/>
      <c r="EL16" s="2"/>
      <c r="EM16" s="2"/>
      <c r="EO16" s="2">
        <v>0.38944426165328</v>
      </c>
    </row>
    <row r="17" spans="6:145" x14ac:dyDescent="0.25">
      <c r="F17" s="1">
        <v>14</v>
      </c>
      <c r="G17" s="2">
        <v>16.71202924</v>
      </c>
      <c r="H17" s="2">
        <v>16.708140162316599</v>
      </c>
      <c r="I17" s="2">
        <v>17.8596738213989</v>
      </c>
      <c r="K17" s="2">
        <v>29.956031865559801</v>
      </c>
      <c r="L17" s="2">
        <v>20.509241902225799</v>
      </c>
      <c r="N17" s="1">
        <v>14</v>
      </c>
      <c r="O17" s="2">
        <v>4.0806350929999997</v>
      </c>
      <c r="P17" s="2">
        <v>4.0756733829682803</v>
      </c>
      <c r="Q17" s="2">
        <v>4.0908787113085596</v>
      </c>
      <c r="S17" s="2">
        <v>21.9201279437601</v>
      </c>
      <c r="T17" s="2">
        <v>23.456062315516998</v>
      </c>
      <c r="V17" s="1">
        <v>14</v>
      </c>
      <c r="W17" s="2">
        <v>13.35751623</v>
      </c>
      <c r="X17" s="2">
        <v>13.506400077400199</v>
      </c>
      <c r="Y17" s="2">
        <v>15.690751048746</v>
      </c>
      <c r="AA17" s="2">
        <v>37.521102148006797</v>
      </c>
      <c r="AB17" s="2">
        <v>21.544369164258001</v>
      </c>
      <c r="AD17" s="1"/>
      <c r="AJ17" s="1">
        <v>14</v>
      </c>
      <c r="AK17" s="2">
        <v>8.9937127868237408</v>
      </c>
      <c r="AL17" s="2">
        <v>10.7967272606382</v>
      </c>
      <c r="AM17" s="2">
        <v>10.0256165056234</v>
      </c>
      <c r="AO17" s="2">
        <v>173.02087113702899</v>
      </c>
      <c r="AP17" s="2">
        <v>27323.977199297799</v>
      </c>
      <c r="AR17" s="1">
        <v>14</v>
      </c>
      <c r="AS17" s="2">
        <v>6.7252233195086797</v>
      </c>
      <c r="AT17" s="2">
        <v>6.7599605372325504</v>
      </c>
      <c r="AU17" s="2">
        <v>6.7397761025754397</v>
      </c>
      <c r="AW17" s="2">
        <v>167.51494982717199</v>
      </c>
      <c r="AX17" s="2">
        <v>21050.441031843999</v>
      </c>
      <c r="AZ17" s="1">
        <v>14</v>
      </c>
      <c r="BA17" s="2">
        <v>6.7664435136299197</v>
      </c>
      <c r="BB17" s="2">
        <v>8.6070433134136692</v>
      </c>
      <c r="BC17" s="2">
        <v>12.061567941386301</v>
      </c>
      <c r="BE17" s="2">
        <v>105.59970868652</v>
      </c>
      <c r="BF17" s="2">
        <v>25778.689435456101</v>
      </c>
      <c r="BN17" s="1">
        <v>14</v>
      </c>
      <c r="BO17" s="2">
        <v>0.84436860468345998</v>
      </c>
      <c r="BP17" s="2">
        <v>0.82769348064859705</v>
      </c>
      <c r="BQ17" s="2">
        <v>0.87197802438765604</v>
      </c>
      <c r="BS17" s="2">
        <v>0.73515982517681899</v>
      </c>
      <c r="BT17" s="2">
        <v>0.86961517129499799</v>
      </c>
      <c r="BV17" s="1">
        <v>14</v>
      </c>
      <c r="BW17" s="2">
        <v>0.78297161992244801</v>
      </c>
      <c r="BX17" s="2">
        <v>0.78490233680198496</v>
      </c>
      <c r="BY17" s="2">
        <v>0.78537926538903902</v>
      </c>
      <c r="CA17" s="2">
        <v>0.86253592851525795</v>
      </c>
      <c r="CB17" s="2">
        <v>0.83136186633277498</v>
      </c>
      <c r="CD17" s="1">
        <v>14</v>
      </c>
      <c r="CE17" s="2">
        <v>1.13401575195168</v>
      </c>
      <c r="CF17" s="2">
        <v>1.0625013646805099</v>
      </c>
      <c r="CG17" s="2">
        <v>1.6206188590374799</v>
      </c>
      <c r="CI17" s="2">
        <v>0.872493082091778</v>
      </c>
      <c r="CJ17" s="2">
        <v>0.92271355615611195</v>
      </c>
      <c r="CQ17" s="1">
        <v>14</v>
      </c>
      <c r="CR17" s="2">
        <v>1.2756355762485299E-2</v>
      </c>
      <c r="CS17" s="2">
        <v>1.26403485331967E-2</v>
      </c>
      <c r="CT17" s="2">
        <v>1.22812757073493E-2</v>
      </c>
      <c r="CV17" s="2">
        <v>2.3631324657951199E-2</v>
      </c>
      <c r="CY17" s="1">
        <v>14</v>
      </c>
      <c r="CZ17" s="2">
        <v>3.5018527236389603E-2</v>
      </c>
      <c r="DA17" s="2">
        <v>3.4938856521621001E-2</v>
      </c>
      <c r="DB17" s="2">
        <v>3.4876742885584198E-2</v>
      </c>
      <c r="DD17" s="2">
        <v>2.9867567371060801E-2</v>
      </c>
      <c r="DG17" s="1">
        <v>14</v>
      </c>
      <c r="DH17" s="2">
        <v>1.3273070522558E-3</v>
      </c>
      <c r="DI17" s="2">
        <v>1.4660713660527001E-3</v>
      </c>
      <c r="DJ17" s="2">
        <v>7.4626495288970004E-4</v>
      </c>
      <c r="DL17" s="2">
        <v>3.6124403856482599E-2</v>
      </c>
      <c r="DT17" s="1">
        <v>14</v>
      </c>
      <c r="DU17" s="2"/>
      <c r="DV17" s="2"/>
      <c r="DW17" s="2"/>
      <c r="DY17" s="2">
        <v>0.35436781921972599</v>
      </c>
      <c r="EB17" s="1">
        <v>14</v>
      </c>
      <c r="EC17" s="2"/>
      <c r="ED17" s="2"/>
      <c r="EE17" s="2"/>
      <c r="EG17" s="2">
        <v>0.35658052218292702</v>
      </c>
      <c r="EJ17" s="1">
        <v>14</v>
      </c>
      <c r="EK17" s="2"/>
      <c r="EL17" s="2"/>
      <c r="EM17" s="2"/>
      <c r="EO17" s="2">
        <v>0.35360661525218501</v>
      </c>
    </row>
    <row r="18" spans="6:145" x14ac:dyDescent="0.25">
      <c r="F18" s="1">
        <v>15</v>
      </c>
      <c r="G18" s="2">
        <v>20.522256280000001</v>
      </c>
      <c r="H18" s="2">
        <v>20.454076552217298</v>
      </c>
      <c r="I18" s="2">
        <v>19.1150298737148</v>
      </c>
      <c r="K18" s="2">
        <v>29.199334207262901</v>
      </c>
      <c r="L18" s="2">
        <v>40.660107893064499</v>
      </c>
      <c r="N18" s="1">
        <v>15</v>
      </c>
      <c r="O18" s="2">
        <v>4.085774045</v>
      </c>
      <c r="P18" s="2">
        <v>4.08132489089017</v>
      </c>
      <c r="Q18" s="2">
        <v>4.0944522520294901</v>
      </c>
      <c r="S18" s="2">
        <v>22.934547446587299</v>
      </c>
      <c r="T18" s="2">
        <v>18.9364851891096</v>
      </c>
      <c r="V18" s="1">
        <v>15</v>
      </c>
      <c r="W18" s="2">
        <v>15.785667889999999</v>
      </c>
      <c r="X18" s="2">
        <v>15.8056376597042</v>
      </c>
      <c r="Y18" s="2">
        <v>16.3042049757697</v>
      </c>
      <c r="AA18" s="2">
        <v>37.494918621079997</v>
      </c>
      <c r="AB18" s="2">
        <v>34.251096423481002</v>
      </c>
      <c r="AD18" s="1"/>
      <c r="AJ18" s="1">
        <v>15</v>
      </c>
      <c r="AK18" s="2">
        <v>8.9538199841655999</v>
      </c>
      <c r="AL18" s="2">
        <v>10.853742235956201</v>
      </c>
      <c r="AM18" s="2">
        <v>14.6211667713102</v>
      </c>
      <c r="AO18" s="2">
        <v>197.11313953200801</v>
      </c>
      <c r="AP18" s="2">
        <v>33810.571068552199</v>
      </c>
      <c r="AR18" s="1">
        <v>15</v>
      </c>
      <c r="AS18" s="2">
        <v>6.7321919848372902</v>
      </c>
      <c r="AT18" s="2">
        <v>6.7794144733563302</v>
      </c>
      <c r="AU18" s="2">
        <v>6.7416812100625396</v>
      </c>
      <c r="AW18" s="2">
        <v>186.44621618732</v>
      </c>
      <c r="AX18" s="2">
        <v>19879.110814233401</v>
      </c>
      <c r="AZ18" s="1">
        <v>15</v>
      </c>
      <c r="BA18" s="2">
        <v>6.7835577037322397</v>
      </c>
      <c r="BB18" s="2">
        <v>8.6841213348669601</v>
      </c>
      <c r="BC18" s="2">
        <v>13.352119940952299</v>
      </c>
      <c r="BE18" s="2">
        <v>118.364155424297</v>
      </c>
      <c r="BF18" s="2">
        <v>29562.191673530499</v>
      </c>
      <c r="BN18" s="1">
        <v>15</v>
      </c>
      <c r="BO18" s="2">
        <v>0.94971116716363202</v>
      </c>
      <c r="BP18" s="2">
        <v>0.80681745610780597</v>
      </c>
      <c r="BQ18" s="2">
        <v>0.91428862373774</v>
      </c>
      <c r="BS18" s="2">
        <v>0.84834653852995201</v>
      </c>
      <c r="BT18" s="2">
        <v>0.83538117063144102</v>
      </c>
      <c r="BV18" s="1">
        <v>15</v>
      </c>
      <c r="BW18" s="2">
        <v>0.78626503599058095</v>
      </c>
      <c r="BX18" s="2">
        <v>0.78287246772890495</v>
      </c>
      <c r="BY18" s="2">
        <v>0.78414308973881197</v>
      </c>
      <c r="CA18" s="2">
        <v>0.88488539871042904</v>
      </c>
      <c r="CB18" s="2">
        <v>0.86386708940453405</v>
      </c>
      <c r="CD18" s="1">
        <v>15</v>
      </c>
      <c r="CE18" s="2">
        <v>1.2721461534620999</v>
      </c>
      <c r="CF18" s="2">
        <v>1.0396033657224999</v>
      </c>
      <c r="CG18" s="2">
        <v>1.70583597782011</v>
      </c>
      <c r="CI18" s="2">
        <v>0.88324788408162902</v>
      </c>
      <c r="CJ18" s="2">
        <v>0.86984428013235304</v>
      </c>
      <c r="CQ18" s="1">
        <v>15</v>
      </c>
      <c r="CR18" s="2">
        <v>1.24964536442266E-2</v>
      </c>
      <c r="CS18" s="2">
        <v>1.2559566373603901E-2</v>
      </c>
      <c r="CT18" s="2">
        <v>1.19972476890766E-2</v>
      </c>
      <c r="CV18" s="2">
        <v>3.58303619834777E-2</v>
      </c>
      <c r="CY18" s="1">
        <v>15</v>
      </c>
      <c r="CZ18" s="2">
        <v>3.4959885828078401E-2</v>
      </c>
      <c r="DA18" s="2">
        <v>3.4915237929593598E-2</v>
      </c>
      <c r="DB18" s="2">
        <v>3.4834871957125001E-2</v>
      </c>
      <c r="DD18" s="2">
        <v>3.4944871660534803E-2</v>
      </c>
      <c r="DG18" s="1">
        <v>15</v>
      </c>
      <c r="DH18" s="2">
        <v>1.4294065608122001E-3</v>
      </c>
      <c r="DI18" s="2">
        <v>1.2435810296558001E-3</v>
      </c>
      <c r="DJ18" s="2">
        <v>7.6630670508000005E-4</v>
      </c>
      <c r="DL18" s="2">
        <v>3.0904686670065899E-2</v>
      </c>
      <c r="DT18" s="1">
        <v>15</v>
      </c>
      <c r="DU18" s="2"/>
      <c r="DV18" s="2"/>
      <c r="DW18" s="2"/>
      <c r="DY18" s="2">
        <v>0.39075584372855798</v>
      </c>
      <c r="EB18" s="1">
        <v>15</v>
      </c>
      <c r="EC18" s="2"/>
      <c r="ED18" s="2"/>
      <c r="EE18" s="2"/>
      <c r="EG18" s="2">
        <v>0.36756787837796001</v>
      </c>
      <c r="EJ18" s="1">
        <v>15</v>
      </c>
      <c r="EK18" s="2"/>
      <c r="EL18" s="2"/>
      <c r="EM18" s="2"/>
      <c r="EO18" s="2">
        <v>0.42482783319329398</v>
      </c>
    </row>
    <row r="19" spans="6:145" x14ac:dyDescent="0.25">
      <c r="F19" s="1">
        <v>16</v>
      </c>
      <c r="G19" s="2">
        <v>18.123930000000001</v>
      </c>
      <c r="H19" s="2">
        <v>17.447400624738702</v>
      </c>
      <c r="I19" s="2">
        <v>20.606093682785001</v>
      </c>
      <c r="K19" s="2">
        <v>28.925020996396299</v>
      </c>
      <c r="L19" s="2">
        <v>22.994626813166899</v>
      </c>
      <c r="N19" s="1">
        <v>16</v>
      </c>
      <c r="O19" s="2">
        <v>4.0806525990000004</v>
      </c>
      <c r="P19" s="2">
        <v>4.0776253606536796</v>
      </c>
      <c r="Q19" s="2">
        <v>4.0818786533350204</v>
      </c>
      <c r="S19" s="2">
        <v>21.311101118218499</v>
      </c>
      <c r="T19" s="2">
        <v>24.502776631047102</v>
      </c>
      <c r="V19" s="1">
        <v>16</v>
      </c>
      <c r="W19" s="2">
        <v>14.328126149999999</v>
      </c>
      <c r="X19" s="2">
        <v>14.1186331654106</v>
      </c>
      <c r="Y19" s="2">
        <v>17.670226447300401</v>
      </c>
      <c r="AA19" s="2">
        <v>37.200121593309902</v>
      </c>
      <c r="AB19" s="2">
        <v>18.916893729877099</v>
      </c>
      <c r="AD19" s="1"/>
      <c r="AJ19" s="1">
        <v>16</v>
      </c>
      <c r="AK19" s="2">
        <v>10.157506203975901</v>
      </c>
      <c r="AL19" s="2">
        <v>9.3564378382274302</v>
      </c>
      <c r="AM19" s="2">
        <v>10.7329783583855</v>
      </c>
      <c r="AO19" s="2">
        <v>190.06873126958601</v>
      </c>
      <c r="AP19" s="2">
        <v>28893.4216539554</v>
      </c>
      <c r="AR19" s="1">
        <v>16</v>
      </c>
      <c r="AS19" s="2">
        <v>6.7433229677918503</v>
      </c>
      <c r="AT19" s="2">
        <v>6.7546074000592196</v>
      </c>
      <c r="AU19" s="2">
        <v>6.7524410969091297</v>
      </c>
      <c r="AW19" s="2">
        <v>189.694684946987</v>
      </c>
      <c r="AX19" s="2">
        <v>17423.7967763081</v>
      </c>
      <c r="AZ19" s="1">
        <v>16</v>
      </c>
      <c r="BA19" s="2">
        <v>7.7600751502851599</v>
      </c>
      <c r="BB19" s="2">
        <v>6.8846989408462802</v>
      </c>
      <c r="BC19" s="2">
        <v>15.658630422606601</v>
      </c>
      <c r="BE19" s="2">
        <v>113.841575696737</v>
      </c>
      <c r="BF19" s="2">
        <v>27567.302404917598</v>
      </c>
      <c r="BN19" s="1">
        <v>16</v>
      </c>
      <c r="BO19" s="2">
        <v>0.85517062605939398</v>
      </c>
      <c r="BP19" s="2">
        <v>0.82497772398413205</v>
      </c>
      <c r="BQ19" s="2">
        <v>0.90372616018592999</v>
      </c>
      <c r="BS19" s="2">
        <v>0.87014537114990098</v>
      </c>
      <c r="BT19" s="2">
        <v>0.84582556072529003</v>
      </c>
      <c r="BV19" s="1">
        <v>16</v>
      </c>
      <c r="BW19" s="2">
        <v>0.78305114528909403</v>
      </c>
      <c r="BX19" s="2">
        <v>0.78250233573391403</v>
      </c>
      <c r="BY19" s="2">
        <v>0.78428079389432603</v>
      </c>
      <c r="CA19" s="2">
        <v>0.86643393393649504</v>
      </c>
      <c r="CB19" s="2">
        <v>0.86558018872690001</v>
      </c>
      <c r="CD19" s="1">
        <v>16</v>
      </c>
      <c r="CE19" s="2">
        <v>1.23174439530751</v>
      </c>
      <c r="CF19" s="2">
        <v>1.0605279745262299</v>
      </c>
      <c r="CG19" s="2">
        <v>1.6973970015911599</v>
      </c>
      <c r="CI19" s="2">
        <v>0.88929560627355897</v>
      </c>
      <c r="CJ19" s="2">
        <v>0.87130697229006604</v>
      </c>
      <c r="CQ19" s="1">
        <v>16</v>
      </c>
      <c r="CR19" s="2">
        <v>1.3342792184204E-2</v>
      </c>
      <c r="CS19" s="2">
        <v>1.2897705066388E-2</v>
      </c>
      <c r="CT19" s="2">
        <v>1.21628259017521E-2</v>
      </c>
      <c r="CV19" s="2">
        <v>2.1041565478141198E-2</v>
      </c>
      <c r="CY19" s="1">
        <v>16</v>
      </c>
      <c r="CZ19" s="2">
        <v>3.4925719143177603E-2</v>
      </c>
      <c r="DA19" s="2">
        <v>3.4929584017615603E-2</v>
      </c>
      <c r="DB19" s="2">
        <v>3.4832804333702803E-2</v>
      </c>
      <c r="DD19" s="2">
        <v>2.8792328804060199E-2</v>
      </c>
      <c r="DG19" s="1">
        <v>16</v>
      </c>
      <c r="DH19" s="2">
        <v>2.2506052746477001E-3</v>
      </c>
      <c r="DI19" s="2">
        <v>1.8360972836478999E-3</v>
      </c>
      <c r="DJ19" s="2">
        <v>7.6313602777450002E-4</v>
      </c>
      <c r="DL19" s="2">
        <v>3.4873697352542699E-2</v>
      </c>
      <c r="DT19" s="1">
        <v>16</v>
      </c>
      <c r="DU19" s="2"/>
      <c r="DV19" s="2"/>
      <c r="DW19" s="2"/>
      <c r="DY19" s="2">
        <v>0.37511768000115697</v>
      </c>
      <c r="EB19" s="1">
        <v>16</v>
      </c>
      <c r="EC19" s="2"/>
      <c r="ED19" s="2"/>
      <c r="EE19" s="2"/>
      <c r="EG19" s="2">
        <v>0.36160147057021502</v>
      </c>
      <c r="EJ19" s="1">
        <v>16</v>
      </c>
      <c r="EK19" s="2"/>
      <c r="EL19" s="2"/>
      <c r="EM19" s="2"/>
      <c r="EO19" s="2">
        <v>0.41691072998825202</v>
      </c>
    </row>
    <row r="20" spans="6:145" x14ac:dyDescent="0.25">
      <c r="F20" s="1">
        <v>17</v>
      </c>
      <c r="G20" s="2">
        <v>18.97370205</v>
      </c>
      <c r="H20" s="2">
        <v>20.340849408002299</v>
      </c>
      <c r="I20" s="2">
        <v>18.779087096876701</v>
      </c>
      <c r="K20" s="2">
        <v>29.3743729263612</v>
      </c>
      <c r="L20" s="2">
        <v>39.445393106344703</v>
      </c>
      <c r="N20" s="1">
        <v>17</v>
      </c>
      <c r="O20" s="2">
        <v>4.0865616600000001</v>
      </c>
      <c r="P20" s="2">
        <v>4.0886751330322202</v>
      </c>
      <c r="Q20" s="2">
        <v>4.0947215521157299</v>
      </c>
      <c r="S20" s="2">
        <v>23.003696154324</v>
      </c>
      <c r="T20" s="2">
        <v>15.9364969699427</v>
      </c>
      <c r="V20" s="1">
        <v>17</v>
      </c>
      <c r="W20" s="2">
        <v>15.01209455</v>
      </c>
      <c r="X20" s="2">
        <v>16.1337593222183</v>
      </c>
      <c r="Y20" s="2">
        <v>17.2592801961815</v>
      </c>
      <c r="AA20" s="2">
        <v>37.711390209161401</v>
      </c>
      <c r="AB20" s="2">
        <v>41.472435910068</v>
      </c>
      <c r="AD20" s="1"/>
      <c r="AJ20" s="1">
        <v>17</v>
      </c>
      <c r="AK20" s="2">
        <v>9.4380653217352393</v>
      </c>
      <c r="AL20" s="2">
        <v>10.176391131092201</v>
      </c>
      <c r="AM20" s="2">
        <v>10.946990748671499</v>
      </c>
      <c r="AO20" s="2">
        <v>168.606638434958</v>
      </c>
      <c r="AP20" s="2">
        <v>22572.267162435299</v>
      </c>
      <c r="AR20" s="1">
        <v>17</v>
      </c>
      <c r="AS20" s="2">
        <v>6.7489526763435501</v>
      </c>
      <c r="AT20" s="2">
        <v>6.7482336700147396</v>
      </c>
      <c r="AU20" s="2">
        <v>6.7351635223578299</v>
      </c>
      <c r="AW20" s="2">
        <v>166.28005373848299</v>
      </c>
      <c r="AX20" s="2">
        <v>16195.678081124601</v>
      </c>
      <c r="AZ20" s="1">
        <v>17</v>
      </c>
      <c r="BA20" s="2">
        <v>6.7127665872332702</v>
      </c>
      <c r="BB20" s="2">
        <v>7.9620768988036899</v>
      </c>
      <c r="BC20" s="2">
        <v>10.684442162327899</v>
      </c>
      <c r="BE20" s="2">
        <v>106.501844496408</v>
      </c>
      <c r="BF20" s="2">
        <v>22994.038606694601</v>
      </c>
      <c r="BN20" s="1">
        <v>17</v>
      </c>
      <c r="BO20" s="2">
        <v>0.87022223794846099</v>
      </c>
      <c r="BP20" s="2">
        <v>0.82829237829430402</v>
      </c>
      <c r="BQ20" s="2">
        <v>0.92246040018352204</v>
      </c>
      <c r="BS20" s="2">
        <v>0.78937662234503503</v>
      </c>
      <c r="BT20" s="2">
        <v>0.91439177230657898</v>
      </c>
      <c r="BV20" s="1">
        <v>17</v>
      </c>
      <c r="BW20" s="2">
        <v>0.78261089749186896</v>
      </c>
      <c r="BX20" s="2">
        <v>0.783280329557143</v>
      </c>
      <c r="BY20" s="2">
        <v>0.78342997811194803</v>
      </c>
      <c r="CA20" s="2">
        <v>0.86771108304742695</v>
      </c>
      <c r="CB20" s="2">
        <v>0.85806568443541897</v>
      </c>
      <c r="CD20" s="1">
        <v>17</v>
      </c>
      <c r="CE20" s="2">
        <v>1.15434881902722</v>
      </c>
      <c r="CF20" s="2">
        <v>1.0719923637668201</v>
      </c>
      <c r="CG20" s="2">
        <v>1.7047686191303699</v>
      </c>
      <c r="CI20" s="2">
        <v>0.873053090467937</v>
      </c>
      <c r="CJ20" s="2">
        <v>0.91824805159512002</v>
      </c>
      <c r="CQ20" s="1">
        <v>17</v>
      </c>
      <c r="CR20" s="2">
        <v>1.29334143840877E-2</v>
      </c>
      <c r="CS20" s="2">
        <v>1.2740493304669301E-2</v>
      </c>
      <c r="CT20" s="2">
        <v>1.2237002335791501E-2</v>
      </c>
      <c r="CV20" s="2">
        <v>4.5129296405297198E-2</v>
      </c>
      <c r="CY20" s="1">
        <v>17</v>
      </c>
      <c r="CZ20" s="2">
        <v>3.4949960217482597E-2</v>
      </c>
      <c r="DA20" s="2">
        <v>3.49296540819179E-2</v>
      </c>
      <c r="DB20" s="2">
        <v>3.4834110522074399E-2</v>
      </c>
      <c r="DD20" s="2">
        <v>3.6225272022785998E-2</v>
      </c>
      <c r="DG20" s="1">
        <v>17</v>
      </c>
      <c r="DH20" s="2">
        <v>1.7166998585919E-3</v>
      </c>
      <c r="DI20" s="2">
        <v>1.4523375947748001E-3</v>
      </c>
      <c r="DJ20" s="2">
        <v>7.3533435259089998E-4</v>
      </c>
      <c r="DL20" s="2">
        <v>3.01066509979569E-2</v>
      </c>
      <c r="DT20" s="1">
        <v>17</v>
      </c>
      <c r="DU20" s="2"/>
      <c r="DV20" s="2"/>
      <c r="DW20" s="2"/>
      <c r="DY20" s="2">
        <v>0.37829515203791297</v>
      </c>
      <c r="EB20" s="1">
        <v>17</v>
      </c>
      <c r="EC20" s="2"/>
      <c r="ED20" s="2"/>
      <c r="EE20" s="2"/>
      <c r="EG20" s="2">
        <v>0.36157968981273497</v>
      </c>
      <c r="EJ20" s="1">
        <v>17</v>
      </c>
      <c r="EK20" s="2"/>
      <c r="EL20" s="2"/>
      <c r="EM20" s="2"/>
      <c r="EO20" s="2">
        <v>0.39412480723847099</v>
      </c>
    </row>
    <row r="21" spans="6:145" x14ac:dyDescent="0.25">
      <c r="F21" s="1">
        <v>18</v>
      </c>
      <c r="G21" s="2">
        <v>18.416804989999999</v>
      </c>
      <c r="H21" s="2">
        <v>21.378514165800901</v>
      </c>
      <c r="I21" s="2">
        <v>26.4257142995361</v>
      </c>
      <c r="K21" s="2">
        <v>28.8940373640798</v>
      </c>
      <c r="L21" s="2">
        <v>44.522939680315197</v>
      </c>
      <c r="N21" s="1">
        <v>18</v>
      </c>
      <c r="O21" s="2">
        <v>4.0884073369999996</v>
      </c>
      <c r="P21" s="2">
        <v>4.0848992650979898</v>
      </c>
      <c r="Q21" s="2">
        <v>4.0837936158138204</v>
      </c>
      <c r="S21" s="2">
        <v>21.063915468921302</v>
      </c>
      <c r="T21" s="2">
        <v>25.306241694152401</v>
      </c>
      <c r="V21" s="1">
        <v>18</v>
      </c>
      <c r="W21" s="2">
        <v>14.36178069</v>
      </c>
      <c r="X21" s="2">
        <v>16.776355433842902</v>
      </c>
      <c r="Y21" s="2">
        <v>21.812316263076301</v>
      </c>
      <c r="AA21" s="2">
        <v>37.051267147725902</v>
      </c>
      <c r="AB21" s="2">
        <v>28.906757947889801</v>
      </c>
      <c r="AD21" s="1"/>
      <c r="AJ21" s="1">
        <v>18</v>
      </c>
      <c r="AK21" s="2">
        <v>10.4553026422877</v>
      </c>
      <c r="AL21" s="2">
        <v>10.466387253424401</v>
      </c>
      <c r="AM21" s="2">
        <v>14.766966145354401</v>
      </c>
      <c r="AO21" s="2">
        <v>178.69409081714599</v>
      </c>
      <c r="AP21" s="2">
        <v>27834.303931115399</v>
      </c>
      <c r="AR21" s="1">
        <v>18</v>
      </c>
      <c r="AS21" s="2">
        <v>6.7615227303879903</v>
      </c>
      <c r="AT21" s="2">
        <v>6.6823457193299598</v>
      </c>
      <c r="AU21" s="2">
        <v>6.7374595690097303</v>
      </c>
      <c r="AW21" s="2">
        <v>166.25641914564699</v>
      </c>
      <c r="AX21" s="2">
        <v>19313.0651467106</v>
      </c>
      <c r="AZ21" s="1">
        <v>18</v>
      </c>
      <c r="BA21" s="2">
        <v>8.5521539201805901</v>
      </c>
      <c r="BB21" s="2">
        <v>8.3879976244103691</v>
      </c>
      <c r="BC21" s="2">
        <v>13.965095274723801</v>
      </c>
      <c r="BE21" s="2">
        <v>112.468538449652</v>
      </c>
      <c r="BF21" s="2">
        <v>28310.432920269999</v>
      </c>
      <c r="BN21" s="1">
        <v>18</v>
      </c>
      <c r="BO21" s="2">
        <v>0.889495529551808</v>
      </c>
      <c r="BP21" s="2">
        <v>0.84238920310500298</v>
      </c>
      <c r="BQ21" s="2">
        <v>0.96043198336802105</v>
      </c>
      <c r="BS21" s="2">
        <v>0.82448522572730298</v>
      </c>
      <c r="BT21" s="2">
        <v>1.04331649404936</v>
      </c>
      <c r="BV21" s="1">
        <v>18</v>
      </c>
      <c r="BW21" s="2">
        <v>0.78202977818456698</v>
      </c>
      <c r="BX21" s="2">
        <v>0.78459620734178104</v>
      </c>
      <c r="BY21" s="2">
        <v>0.78424429554542796</v>
      </c>
      <c r="CA21" s="2">
        <v>0.86644885604240995</v>
      </c>
      <c r="CB21" s="2">
        <v>0.86135631770226295</v>
      </c>
      <c r="CD21" s="1">
        <v>18</v>
      </c>
      <c r="CE21" s="2">
        <v>1.11215930650165</v>
      </c>
      <c r="CF21" s="2">
        <v>1.0969554942444899</v>
      </c>
      <c r="CG21" s="2">
        <v>1.7868767344751</v>
      </c>
      <c r="CI21" s="2">
        <v>0.97188177206868898</v>
      </c>
      <c r="CJ21" s="2">
        <v>1.0489872269846201</v>
      </c>
      <c r="CQ21" s="1">
        <v>18</v>
      </c>
      <c r="CR21" s="2">
        <v>1.2797633739195499E-2</v>
      </c>
      <c r="CS21" s="2">
        <v>1.2472064206732201E-2</v>
      </c>
      <c r="CT21" s="2">
        <v>1.22348042589965E-2</v>
      </c>
      <c r="CV21" s="2">
        <v>2.4634804915026599E-2</v>
      </c>
      <c r="CY21" s="1">
        <v>18</v>
      </c>
      <c r="CZ21" s="2">
        <v>3.4949271432611201E-2</v>
      </c>
      <c r="DA21" s="2">
        <v>3.4956345261448002E-2</v>
      </c>
      <c r="DB21" s="2">
        <v>3.4899990552272199E-2</v>
      </c>
      <c r="DD21" s="2">
        <v>3.0514362827670501E-2</v>
      </c>
      <c r="DG21" s="1">
        <v>18</v>
      </c>
      <c r="DH21" s="2">
        <v>1.6886002165863001E-3</v>
      </c>
      <c r="DI21" s="2">
        <v>1.3999949829078999E-3</v>
      </c>
      <c r="DJ21" s="2">
        <v>7.8528547712279997E-4</v>
      </c>
      <c r="DL21" s="2">
        <v>2.8108937583373399E-2</v>
      </c>
      <c r="DT21" s="1">
        <v>18</v>
      </c>
      <c r="DU21" s="2"/>
      <c r="DV21" s="2"/>
      <c r="DW21" s="2"/>
      <c r="DY21" s="2">
        <v>0.36240055306632601</v>
      </c>
      <c r="EB21" s="1">
        <v>18</v>
      </c>
      <c r="EC21" s="2"/>
      <c r="ED21" s="2"/>
      <c r="EE21" s="2"/>
      <c r="EG21" s="2">
        <v>0.34424866177403401</v>
      </c>
      <c r="EJ21" s="1">
        <v>18</v>
      </c>
      <c r="EK21" s="2"/>
      <c r="EL21" s="2"/>
      <c r="EM21" s="2"/>
      <c r="EO21" s="2">
        <v>0.39328544160411399</v>
      </c>
    </row>
    <row r="22" spans="6:145" x14ac:dyDescent="0.25">
      <c r="F22" s="1">
        <v>19</v>
      </c>
      <c r="G22" s="2">
        <v>21.034615550000002</v>
      </c>
      <c r="H22" s="2">
        <v>22.337353464484998</v>
      </c>
      <c r="I22" s="2">
        <v>32.603329875776303</v>
      </c>
      <c r="K22" s="2">
        <v>29.654489432842102</v>
      </c>
      <c r="L22" s="2">
        <v>28.097649771167301</v>
      </c>
      <c r="N22" s="1">
        <v>19</v>
      </c>
      <c r="O22" s="2">
        <v>4.0869501750000001</v>
      </c>
      <c r="P22" s="2">
        <v>4.0774867572325304</v>
      </c>
      <c r="Q22" s="2">
        <v>4.0973138129189497</v>
      </c>
      <c r="S22" s="2">
        <v>23.674808049254299</v>
      </c>
      <c r="T22" s="2">
        <v>18.6957503691103</v>
      </c>
      <c r="V22" s="1">
        <v>19</v>
      </c>
      <c r="W22" s="2">
        <v>16.663288009999999</v>
      </c>
      <c r="X22" s="2">
        <v>17.3231014058257</v>
      </c>
      <c r="Y22" s="2">
        <v>27.757309325914701</v>
      </c>
      <c r="AA22" s="2">
        <v>37.828435434916202</v>
      </c>
      <c r="AB22" s="2">
        <v>35.166928811046901</v>
      </c>
      <c r="AD22" s="1"/>
      <c r="AE22" s="1"/>
      <c r="AJ22" s="1">
        <v>19</v>
      </c>
      <c r="AK22" s="2">
        <v>12.934992903788199</v>
      </c>
      <c r="AL22" s="2">
        <v>10.727005936142801</v>
      </c>
      <c r="AM22" s="2">
        <v>10.607419634749901</v>
      </c>
      <c r="AO22" s="2">
        <v>189.36094486015099</v>
      </c>
      <c r="AP22" s="2">
        <v>25392.084678703199</v>
      </c>
      <c r="AR22" s="1">
        <v>19</v>
      </c>
      <c r="AS22" s="2">
        <v>6.7481953137291502</v>
      </c>
      <c r="AT22" s="2">
        <v>6.8157279322505904</v>
      </c>
      <c r="AU22" s="2">
        <v>6.7493544688075398</v>
      </c>
      <c r="AW22" s="2">
        <v>178.11521708703199</v>
      </c>
      <c r="AX22" s="2">
        <v>17559.248877976501</v>
      </c>
      <c r="AZ22" s="1">
        <v>19</v>
      </c>
      <c r="BA22" s="2">
        <v>10.865106354897399</v>
      </c>
      <c r="BB22" s="2">
        <v>8.9459541010489598</v>
      </c>
      <c r="BC22" s="2">
        <v>14.4794162493809</v>
      </c>
      <c r="BE22" s="2">
        <v>113.526757387861</v>
      </c>
      <c r="BF22" s="2">
        <v>25393.380701580802</v>
      </c>
      <c r="BN22" s="1">
        <v>19</v>
      </c>
      <c r="BO22" s="2">
        <v>0.90798218185370105</v>
      </c>
      <c r="BP22" s="2">
        <v>0.846650834664744</v>
      </c>
      <c r="BQ22" s="2">
        <v>0.93142285715464801</v>
      </c>
      <c r="BS22" s="2">
        <v>0.84556256071575997</v>
      </c>
      <c r="BT22" s="2">
        <v>0.84881326487901299</v>
      </c>
      <c r="BV22" s="1">
        <v>19</v>
      </c>
      <c r="BW22" s="2">
        <v>0.78384515168907498</v>
      </c>
      <c r="BX22" s="2">
        <v>0.78355831450309998</v>
      </c>
      <c r="BY22" s="2">
        <v>0.78518946404621504</v>
      </c>
      <c r="CA22" s="2">
        <v>0.925442212443225</v>
      </c>
      <c r="CB22" s="2">
        <v>0.86422182243053103</v>
      </c>
      <c r="CD22" s="1">
        <v>19</v>
      </c>
      <c r="CE22" s="2">
        <v>1.22382264829455</v>
      </c>
      <c r="CF22" s="2">
        <v>1.0655384216316</v>
      </c>
      <c r="CG22" s="2">
        <v>1.7196459159234301</v>
      </c>
      <c r="CI22" s="2">
        <v>0.91055354508097497</v>
      </c>
      <c r="CJ22" s="2">
        <v>0.86872133412852404</v>
      </c>
      <c r="CQ22" s="1">
        <v>19</v>
      </c>
      <c r="CR22" s="2">
        <v>1.33378787416009E-2</v>
      </c>
      <c r="CS22" s="2">
        <v>1.2195219561682499E-2</v>
      </c>
      <c r="CT22" s="2">
        <v>1.2103331913588301E-2</v>
      </c>
      <c r="CV22" s="2">
        <v>2.2678993798392E-2</v>
      </c>
      <c r="CY22" s="1">
        <v>19</v>
      </c>
      <c r="CZ22" s="2">
        <v>3.50344166205801E-2</v>
      </c>
      <c r="DA22" s="2">
        <v>3.4907346290938598E-2</v>
      </c>
      <c r="DB22" s="2">
        <v>3.4871652073673397E-2</v>
      </c>
      <c r="DD22" s="2">
        <v>3.0167935170364198E-2</v>
      </c>
      <c r="DG22" s="1">
        <v>19</v>
      </c>
      <c r="DH22" s="2">
        <v>2.2687866160745998E-3</v>
      </c>
      <c r="DI22" s="2">
        <v>9.6694300917889999E-4</v>
      </c>
      <c r="DJ22" s="2">
        <v>7.3696198304810002E-4</v>
      </c>
      <c r="DL22" s="2">
        <v>2.7141560925167601E-2</v>
      </c>
      <c r="DT22" s="1">
        <v>19</v>
      </c>
      <c r="DU22" s="2"/>
      <c r="DV22" s="2"/>
      <c r="DW22" s="2"/>
      <c r="DY22" s="2"/>
      <c r="EB22" s="1">
        <v>19</v>
      </c>
      <c r="EC22" s="2"/>
      <c r="ED22" s="2"/>
      <c r="EE22" s="2"/>
      <c r="EG22" s="2"/>
      <c r="EJ22" s="1">
        <v>19</v>
      </c>
      <c r="EK22" s="2"/>
      <c r="EL22" s="2"/>
      <c r="EM22" s="2"/>
      <c r="EO22" s="2"/>
    </row>
    <row r="23" spans="6:145" x14ac:dyDescent="0.25">
      <c r="F23" s="1">
        <v>20</v>
      </c>
      <c r="G23" s="2">
        <v>17.49733389</v>
      </c>
      <c r="H23" s="2">
        <v>18.475121444689599</v>
      </c>
      <c r="I23" s="2">
        <v>20.637024349388</v>
      </c>
      <c r="K23" s="2">
        <v>36.1886275347657</v>
      </c>
      <c r="L23" s="2">
        <v>56.017231647268702</v>
      </c>
      <c r="N23" s="1">
        <v>20</v>
      </c>
      <c r="O23" s="2">
        <v>4.0894991520000001</v>
      </c>
      <c r="P23" s="2">
        <v>4.0758974923954296</v>
      </c>
      <c r="Q23" s="2">
        <v>4.1046188199909901</v>
      </c>
      <c r="S23" s="2">
        <v>26.958751483981501</v>
      </c>
      <c r="T23" s="2">
        <v>25.262941000551901</v>
      </c>
      <c r="V23" s="1">
        <v>20</v>
      </c>
      <c r="W23" s="2">
        <v>13.308000359999999</v>
      </c>
      <c r="X23" s="2">
        <v>14.3502499739486</v>
      </c>
      <c r="Y23" s="2">
        <v>17.282441868829199</v>
      </c>
      <c r="AA23" s="2">
        <v>43.932744409009899</v>
      </c>
      <c r="AB23" s="2">
        <v>37.700503685786202</v>
      </c>
      <c r="AD23" s="1"/>
      <c r="AJ23" s="1">
        <v>20</v>
      </c>
      <c r="AK23" s="2">
        <v>9.40113739980006</v>
      </c>
      <c r="AL23" s="2">
        <v>11.385315700414701</v>
      </c>
      <c r="AM23" s="2">
        <v>11.599965224665</v>
      </c>
      <c r="AO23" s="2">
        <v>161.16708499779901</v>
      </c>
      <c r="AP23" s="2">
        <v>33883.194430826203</v>
      </c>
      <c r="AR23" s="1">
        <v>20</v>
      </c>
      <c r="AS23" s="2">
        <v>6.7209650491681296</v>
      </c>
      <c r="AT23" s="2">
        <v>6.7384275470674497</v>
      </c>
      <c r="AU23" s="2">
        <v>6.74869818186776</v>
      </c>
      <c r="AW23" s="2">
        <v>159.33003557773301</v>
      </c>
      <c r="AX23" s="2">
        <v>16990.745501228499</v>
      </c>
      <c r="AZ23" s="1">
        <v>20</v>
      </c>
      <c r="BA23" s="2">
        <v>7.7308267077825201</v>
      </c>
      <c r="BB23" s="2">
        <v>8.2289703790270607</v>
      </c>
      <c r="BC23" s="2">
        <v>11.1511488242621</v>
      </c>
      <c r="BE23" s="2">
        <v>101.23431950574</v>
      </c>
      <c r="BF23" s="2">
        <v>31672.152061264402</v>
      </c>
      <c r="BN23" s="1">
        <v>20</v>
      </c>
      <c r="BO23" s="2">
        <v>0.86472216455189799</v>
      </c>
      <c r="BP23" s="2">
        <v>0.82061962472968697</v>
      </c>
      <c r="BQ23" s="2">
        <v>0.89418770859909502</v>
      </c>
      <c r="BS23" s="2">
        <v>0.81937229026943303</v>
      </c>
      <c r="BT23" s="2">
        <v>0.84087033435389003</v>
      </c>
      <c r="BV23" s="1">
        <v>20</v>
      </c>
      <c r="BW23" s="2">
        <v>0.78437439905726103</v>
      </c>
      <c r="BX23" s="2">
        <v>0.78362738481828198</v>
      </c>
      <c r="BY23" s="2">
        <v>0.78362147925821701</v>
      </c>
      <c r="CA23" s="2">
        <v>0.86170834339659497</v>
      </c>
      <c r="CB23" s="2">
        <v>0.86577155568999797</v>
      </c>
      <c r="CD23" s="1">
        <v>20</v>
      </c>
      <c r="CE23" s="2">
        <v>1.31610203725845</v>
      </c>
      <c r="CF23" s="2">
        <v>1.0466529327361001</v>
      </c>
      <c r="CG23" s="2">
        <v>1.71180071570514</v>
      </c>
      <c r="CI23" s="2">
        <v>0.89140089325151095</v>
      </c>
      <c r="CJ23" s="2">
        <v>0.86642946783850705</v>
      </c>
      <c r="CQ23" s="1">
        <v>20</v>
      </c>
      <c r="CR23" s="2">
        <v>1.3060564950462501E-2</v>
      </c>
      <c r="CS23" s="2">
        <v>1.27594428018292E-2</v>
      </c>
      <c r="CT23" s="2">
        <v>1.2276328830434899E-2</v>
      </c>
      <c r="CV23" s="2">
        <v>2.8890921480207599E-2</v>
      </c>
      <c r="CY23" s="1">
        <v>20</v>
      </c>
      <c r="CZ23" s="2">
        <v>3.5029671320260802E-2</v>
      </c>
      <c r="DA23" s="2">
        <v>3.4989908516906199E-2</v>
      </c>
      <c r="DB23" s="2">
        <v>3.4869519375828398E-2</v>
      </c>
      <c r="DD23" s="2">
        <v>3.2203065219933803E-2</v>
      </c>
      <c r="DG23" s="1">
        <v>20</v>
      </c>
      <c r="DH23" s="2">
        <v>1.6144605868212E-3</v>
      </c>
      <c r="DI23" s="2">
        <v>1.4359515444064999E-3</v>
      </c>
      <c r="DJ23" s="2">
        <v>8.8930381294559998E-4</v>
      </c>
      <c r="DL23" s="2">
        <v>2.8954684742334601E-2</v>
      </c>
      <c r="DT23" s="1">
        <v>20</v>
      </c>
      <c r="DU23" s="2"/>
      <c r="DV23" s="2"/>
      <c r="DW23" s="2"/>
      <c r="DY23" s="2"/>
      <c r="EB23" s="1">
        <v>20</v>
      </c>
      <c r="EC23" s="2"/>
      <c r="ED23" s="2"/>
      <c r="EE23" s="2"/>
      <c r="EG23" s="2"/>
      <c r="EJ23" s="1">
        <v>20</v>
      </c>
      <c r="EK23" s="2"/>
      <c r="EL23" s="2"/>
      <c r="EM23" s="2"/>
      <c r="EO23" s="2"/>
    </row>
    <row r="24" spans="6:145" x14ac:dyDescent="0.25">
      <c r="F24" s="1">
        <v>21</v>
      </c>
      <c r="G24" s="2">
        <v>19.23717121</v>
      </c>
      <c r="H24" s="2">
        <v>19.682537032672801</v>
      </c>
      <c r="I24" s="2">
        <v>20.551881095544001</v>
      </c>
      <c r="K24" s="2">
        <v>29.548494865343599</v>
      </c>
      <c r="L24" s="2">
        <v>22.851195890880401</v>
      </c>
      <c r="N24" s="1">
        <v>21</v>
      </c>
      <c r="O24" s="2">
        <v>4.0799047430000002</v>
      </c>
      <c r="P24" s="2">
        <v>4.0849290319425302</v>
      </c>
      <c r="Q24" s="2">
        <v>4.0814274939305504</v>
      </c>
      <c r="S24" s="2">
        <v>22.8199770685906</v>
      </c>
      <c r="T24" s="2">
        <v>20.743599541432499</v>
      </c>
      <c r="V24" s="1">
        <v>21</v>
      </c>
      <c r="W24" s="2">
        <v>15.33305972</v>
      </c>
      <c r="X24" s="2">
        <v>15.337842620553999</v>
      </c>
      <c r="Y24" s="2">
        <v>16.870936629882902</v>
      </c>
      <c r="AA24" s="2">
        <v>37.712808028387002</v>
      </c>
      <c r="AB24" s="2">
        <v>22.868922078436999</v>
      </c>
      <c r="AJ24" s="1">
        <v>21</v>
      </c>
      <c r="AK24" s="2">
        <v>11.1440792838014</v>
      </c>
      <c r="AL24" s="2">
        <v>10.2629871269717</v>
      </c>
      <c r="AM24" s="2">
        <v>11.473663592550601</v>
      </c>
      <c r="AO24" s="2">
        <v>179.14377999638199</v>
      </c>
      <c r="AP24" s="2">
        <v>27676.815576381399</v>
      </c>
      <c r="AR24" s="1">
        <v>21</v>
      </c>
      <c r="AS24" s="2">
        <v>6.7204865044489104</v>
      </c>
      <c r="AT24" s="2">
        <v>6.7307893370230101</v>
      </c>
      <c r="AU24" s="2">
        <v>6.7402979171122599</v>
      </c>
      <c r="AW24" s="2">
        <v>167.90480810936299</v>
      </c>
      <c r="AX24" s="2">
        <v>19037.9535167129</v>
      </c>
      <c r="AZ24" s="1">
        <v>21</v>
      </c>
      <c r="BA24" s="2">
        <v>9.2619291195414295</v>
      </c>
      <c r="BB24" s="2">
        <v>8.1876893739205094</v>
      </c>
      <c r="BC24" s="2">
        <v>17.314780860621301</v>
      </c>
      <c r="BE24" s="2">
        <v>107.64685461886199</v>
      </c>
      <c r="BF24" s="2">
        <v>22816.664132161801</v>
      </c>
      <c r="BN24" s="1">
        <v>21</v>
      </c>
      <c r="BO24" s="2">
        <v>0.81666120491654304</v>
      </c>
      <c r="BP24" s="2">
        <v>0.825437840061922</v>
      </c>
      <c r="BQ24" s="2">
        <v>0.90426402411659101</v>
      </c>
      <c r="BS24" s="2">
        <v>0.910993976760057</v>
      </c>
      <c r="BT24" s="2">
        <v>0.880605963457047</v>
      </c>
      <c r="BV24" s="1">
        <v>21</v>
      </c>
      <c r="BW24" s="2">
        <v>0.78475282190457696</v>
      </c>
      <c r="BX24" s="2">
        <v>0.78228710634933096</v>
      </c>
      <c r="BY24" s="2">
        <v>0.78436187051457196</v>
      </c>
      <c r="CA24" s="2">
        <v>0.88993669873644798</v>
      </c>
      <c r="CB24" s="2">
        <v>0.86433406655467804</v>
      </c>
      <c r="CD24" s="1">
        <v>21</v>
      </c>
      <c r="CE24" s="2">
        <v>1.0903394691682899</v>
      </c>
      <c r="CF24" s="2">
        <v>1.0605039644271099</v>
      </c>
      <c r="CG24" s="2">
        <v>1.6675792295612699</v>
      </c>
      <c r="CI24" s="2">
        <v>0.95752099666665402</v>
      </c>
      <c r="CJ24" s="2">
        <v>0.88824315777623397</v>
      </c>
      <c r="CQ24" s="1">
        <v>21</v>
      </c>
      <c r="CR24" s="2">
        <v>1.3520273499010501E-2</v>
      </c>
      <c r="CS24" s="2">
        <v>1.2563537559815201E-2</v>
      </c>
      <c r="CT24" s="2">
        <v>1.21281679296573E-2</v>
      </c>
      <c r="CV24" s="2">
        <v>2.0938274859481298E-2</v>
      </c>
      <c r="CY24" s="1">
        <v>21</v>
      </c>
      <c r="CZ24" s="2">
        <v>3.5062694090601698E-2</v>
      </c>
      <c r="DA24" s="2">
        <v>3.4966101617319403E-2</v>
      </c>
      <c r="DB24" s="2">
        <v>3.4902015498264001E-2</v>
      </c>
      <c r="DD24" s="2">
        <v>2.8930796487066202E-2</v>
      </c>
      <c r="DG24" s="1">
        <v>21</v>
      </c>
      <c r="DH24" s="2">
        <v>2.5437342912000001E-3</v>
      </c>
      <c r="DI24" s="2">
        <v>1.2645410571709001E-3</v>
      </c>
      <c r="DJ24" s="2">
        <v>8.6669023128439998E-4</v>
      </c>
      <c r="DL24" s="2">
        <v>2.9480338632639699E-2</v>
      </c>
      <c r="DT24" s="1">
        <v>21</v>
      </c>
      <c r="DU24" s="2"/>
      <c r="DV24" s="2"/>
      <c r="DW24" s="2"/>
      <c r="DY24" s="2"/>
      <c r="EB24" s="1">
        <v>21</v>
      </c>
      <c r="EC24" s="2"/>
      <c r="ED24" s="2"/>
      <c r="EE24" s="2"/>
      <c r="EG24" s="2"/>
      <c r="EJ24" s="1">
        <v>21</v>
      </c>
      <c r="EK24" s="2"/>
      <c r="EL24" s="2"/>
      <c r="EM24" s="2"/>
      <c r="EO24" s="2"/>
    </row>
    <row r="25" spans="6:145" x14ac:dyDescent="0.25">
      <c r="F25" s="1">
        <v>22</v>
      </c>
      <c r="G25" s="2">
        <v>20.767768570000001</v>
      </c>
      <c r="H25" s="2">
        <v>19.066388448137101</v>
      </c>
      <c r="I25" s="2">
        <v>15.566606233878799</v>
      </c>
      <c r="K25" s="2">
        <v>30.001936720263</v>
      </c>
      <c r="L25" s="2">
        <v>29.2603510454332</v>
      </c>
      <c r="N25" s="1">
        <v>22</v>
      </c>
      <c r="O25" s="2">
        <v>4.084790667</v>
      </c>
      <c r="P25" s="2">
        <v>4.0793583017891297</v>
      </c>
      <c r="Q25" s="2">
        <v>4.0779528340303299</v>
      </c>
      <c r="S25" s="2">
        <v>23.0357303953353</v>
      </c>
      <c r="T25" s="2">
        <v>18.047894852793501</v>
      </c>
      <c r="V25" s="1">
        <v>22</v>
      </c>
      <c r="W25" s="2">
        <v>16.09191174</v>
      </c>
      <c r="X25" s="2">
        <v>15.372203102337</v>
      </c>
      <c r="Y25" s="2">
        <v>14.905696797913601</v>
      </c>
      <c r="AA25" s="2">
        <v>38.729199426533398</v>
      </c>
      <c r="AB25" s="2">
        <v>31.7616251080598</v>
      </c>
      <c r="AJ25" s="1">
        <v>22</v>
      </c>
      <c r="AK25" s="2">
        <v>9.6635299204853506</v>
      </c>
      <c r="AL25" s="2">
        <v>10.76375565989</v>
      </c>
      <c r="AM25" s="2">
        <v>12.559960089118</v>
      </c>
      <c r="AO25" s="2">
        <v>160.99979749122801</v>
      </c>
      <c r="AP25" s="2">
        <v>29935.727378269199</v>
      </c>
      <c r="AR25" s="1">
        <v>22</v>
      </c>
      <c r="AS25" s="2">
        <v>6.7586707853655899</v>
      </c>
      <c r="AT25" s="2">
        <v>6.7564146060113801</v>
      </c>
      <c r="AU25" s="2">
        <v>6.7300174197469804</v>
      </c>
      <c r="AW25" s="2">
        <v>163.93986329242401</v>
      </c>
      <c r="AX25" s="2">
        <v>21380.066802915298</v>
      </c>
      <c r="AZ25" s="1">
        <v>22</v>
      </c>
      <c r="BA25" s="2">
        <v>7.9825548252011904</v>
      </c>
      <c r="BB25" s="2">
        <v>8.9673100847528993</v>
      </c>
      <c r="BC25" s="2">
        <v>11.4452416242799</v>
      </c>
      <c r="BE25" s="2">
        <v>108.409665089437</v>
      </c>
      <c r="BF25" s="2">
        <v>27076.426346804699</v>
      </c>
      <c r="BN25" s="1">
        <v>22</v>
      </c>
      <c r="BO25" s="2">
        <v>0.86525208223203898</v>
      </c>
      <c r="BP25" s="2">
        <v>0.82952367038832098</v>
      </c>
      <c r="BQ25" s="2">
        <v>0.94909763526628099</v>
      </c>
      <c r="BS25" s="2">
        <v>0.75399053279517303</v>
      </c>
      <c r="BT25" s="2">
        <v>0.97442329988352205</v>
      </c>
      <c r="BV25" s="1">
        <v>22</v>
      </c>
      <c r="BW25" s="2">
        <v>0.783298776658791</v>
      </c>
      <c r="BX25" s="2">
        <v>0.78432466348178598</v>
      </c>
      <c r="BY25" s="2">
        <v>0.78507412588167902</v>
      </c>
      <c r="CA25" s="2">
        <v>0.85892639106007396</v>
      </c>
      <c r="CB25" s="2">
        <v>0.85962800153585295</v>
      </c>
      <c r="CD25" s="1">
        <v>22</v>
      </c>
      <c r="CE25" s="2">
        <v>1.1879022489572399</v>
      </c>
      <c r="CF25" s="2">
        <v>1.0767229136280301</v>
      </c>
      <c r="CG25" s="2">
        <v>1.5931457310269499</v>
      </c>
      <c r="CI25" s="2">
        <v>0.84133504024627603</v>
      </c>
      <c r="CJ25" s="2">
        <v>0.96382714891073495</v>
      </c>
      <c r="CQ25" s="1">
        <v>22</v>
      </c>
      <c r="CR25" s="2">
        <v>1.30213302967618E-2</v>
      </c>
      <c r="CS25" s="2">
        <v>1.25180642000944E-2</v>
      </c>
      <c r="CT25" s="2">
        <v>1.2082934704213E-2</v>
      </c>
      <c r="CV25" s="2">
        <v>2.0437331491181598E-2</v>
      </c>
      <c r="CY25" s="1">
        <v>22</v>
      </c>
      <c r="CZ25" s="2">
        <v>3.4708155757834397E-2</v>
      </c>
      <c r="DA25" s="2">
        <v>3.4940422205641898E-2</v>
      </c>
      <c r="DB25" s="2">
        <v>3.4832503558284197E-2</v>
      </c>
      <c r="DD25" s="2">
        <v>2.7532186776546199E-2</v>
      </c>
      <c r="DG25" s="1">
        <v>22</v>
      </c>
      <c r="DH25" s="2">
        <v>2.7266283513813E-3</v>
      </c>
      <c r="DI25" s="2">
        <v>1.1931423708977E-3</v>
      </c>
      <c r="DJ25" s="2">
        <v>9.8055508066149997E-4</v>
      </c>
      <c r="DL25" s="2">
        <v>2.9057130374545201E-2</v>
      </c>
      <c r="DT25" s="1">
        <v>22</v>
      </c>
      <c r="DU25" s="2"/>
      <c r="DV25" s="2"/>
      <c r="DW25" s="2"/>
      <c r="DY25" s="2"/>
      <c r="EB25" s="1">
        <v>22</v>
      </c>
      <c r="EC25" s="2"/>
      <c r="ED25" s="2"/>
      <c r="EE25" s="2"/>
      <c r="EG25" s="2"/>
      <c r="EJ25" s="1">
        <v>22</v>
      </c>
      <c r="EK25" s="2"/>
      <c r="EL25" s="2"/>
      <c r="EM25" s="2"/>
      <c r="EO25" s="2"/>
    </row>
    <row r="26" spans="6:145" x14ac:dyDescent="0.25">
      <c r="F26" s="1">
        <v>23</v>
      </c>
      <c r="G26" s="2">
        <v>18.48519787</v>
      </c>
      <c r="H26" s="2">
        <v>18.5139131218301</v>
      </c>
      <c r="I26" s="2">
        <v>23.278682136812101</v>
      </c>
      <c r="K26" s="2">
        <v>29.348445985644901</v>
      </c>
      <c r="L26" s="2">
        <v>21.723031143671399</v>
      </c>
      <c r="N26" s="1">
        <v>23</v>
      </c>
      <c r="O26" s="2">
        <v>4.086046992</v>
      </c>
      <c r="P26" s="2">
        <v>4.0656371582466102</v>
      </c>
      <c r="Q26" s="2">
        <v>4.1058238261508304</v>
      </c>
      <c r="S26" s="2">
        <v>22.926999286567199</v>
      </c>
      <c r="T26" s="2">
        <v>18.930359097957201</v>
      </c>
      <c r="V26" s="1">
        <v>23</v>
      </c>
      <c r="W26" s="2">
        <v>14.300637549999999</v>
      </c>
      <c r="X26" s="2">
        <v>14.339945629430099</v>
      </c>
      <c r="Y26" s="2">
        <v>20.4771698836702</v>
      </c>
      <c r="AA26" s="2">
        <v>37.373238840697901</v>
      </c>
      <c r="AB26" s="2">
        <v>24.223919860739699</v>
      </c>
      <c r="AJ26" s="1">
        <v>23</v>
      </c>
      <c r="AK26" s="2">
        <v>9.0401400036576192</v>
      </c>
      <c r="AL26" s="2">
        <v>10.6405811996349</v>
      </c>
      <c r="AM26" s="2">
        <v>12.304230496492</v>
      </c>
      <c r="AO26" s="2">
        <v>176.738207144591</v>
      </c>
      <c r="AP26" s="2">
        <v>26725.4814816736</v>
      </c>
      <c r="AR26" s="1">
        <v>23</v>
      </c>
      <c r="AS26" s="2">
        <v>6.7919803338921296</v>
      </c>
      <c r="AT26" s="2">
        <v>6.7734016035902203</v>
      </c>
      <c r="AU26" s="2">
        <v>6.7384277566807302</v>
      </c>
      <c r="AW26" s="2">
        <v>169.956368840122</v>
      </c>
      <c r="AX26" s="2">
        <v>18132.073766192701</v>
      </c>
      <c r="AZ26" s="1">
        <v>23</v>
      </c>
      <c r="BA26" s="2">
        <v>6.3255438189512097</v>
      </c>
      <c r="BB26" s="2">
        <v>8.8596418998544895</v>
      </c>
      <c r="BC26" s="2">
        <v>10.338509337032299</v>
      </c>
      <c r="BE26" s="2">
        <v>106.986754687214</v>
      </c>
      <c r="BF26" s="2">
        <v>23725.469952686501</v>
      </c>
      <c r="BN26" s="1">
        <v>23</v>
      </c>
      <c r="BO26" s="2">
        <v>0.853335206422972</v>
      </c>
      <c r="BP26" s="2">
        <v>0.82115618417292002</v>
      </c>
      <c r="BQ26" s="2">
        <v>0.88232292705590598</v>
      </c>
      <c r="BS26" s="2">
        <v>0.819905683772162</v>
      </c>
      <c r="BT26" s="2">
        <v>0.99164332473586503</v>
      </c>
      <c r="BV26" s="1">
        <v>23</v>
      </c>
      <c r="BW26" s="2">
        <v>0.78376306842184995</v>
      </c>
      <c r="BX26" s="2">
        <v>0.78342850970478894</v>
      </c>
      <c r="BY26" s="2">
        <v>0.784027293411935</v>
      </c>
      <c r="CA26" s="2">
        <v>0.86124869074997801</v>
      </c>
      <c r="CB26" s="2">
        <v>0.86071611505518597</v>
      </c>
      <c r="CD26" s="1">
        <v>23</v>
      </c>
      <c r="CE26" s="2">
        <v>1.2912654859966699</v>
      </c>
      <c r="CF26" s="2">
        <v>1.0594605794313601</v>
      </c>
      <c r="CG26" s="2">
        <v>1.6662219445580799</v>
      </c>
      <c r="CI26" s="2">
        <v>0.98109798552332805</v>
      </c>
      <c r="CJ26" s="2">
        <v>0.98165948898518995</v>
      </c>
      <c r="CQ26" s="1">
        <v>23</v>
      </c>
      <c r="CR26" s="2">
        <v>1.33726760360314E-2</v>
      </c>
      <c r="CS26" s="2">
        <v>1.2528304887085199E-2</v>
      </c>
      <c r="CT26" s="2">
        <v>1.2179721423491E-2</v>
      </c>
      <c r="CV26" s="2">
        <v>2.29338971928526E-2</v>
      </c>
      <c r="CY26" s="1">
        <v>23</v>
      </c>
      <c r="CZ26" s="2">
        <v>3.5041433842129197E-2</v>
      </c>
      <c r="DA26" s="2">
        <v>3.4998621377701003E-2</v>
      </c>
      <c r="DB26" s="2">
        <v>3.4803146262710298E-2</v>
      </c>
      <c r="DD26" s="2">
        <v>2.9106551763736201E-2</v>
      </c>
      <c r="DG26" s="1">
        <v>23</v>
      </c>
      <c r="DH26" s="2">
        <v>2.2703335094146999E-3</v>
      </c>
      <c r="DI26" s="2">
        <v>1.3267263010756001E-3</v>
      </c>
      <c r="DJ26" s="2">
        <v>8.7672875534640002E-4</v>
      </c>
      <c r="DL26" s="2">
        <v>3.3989497630933001E-2</v>
      </c>
      <c r="DT26" s="1">
        <v>23</v>
      </c>
      <c r="DU26" s="2"/>
      <c r="DV26" s="2"/>
      <c r="DW26" s="2"/>
      <c r="DY26" s="2"/>
      <c r="EB26" s="1">
        <v>23</v>
      </c>
      <c r="EC26" s="2"/>
      <c r="ED26" s="2"/>
      <c r="EE26" s="2"/>
      <c r="EG26" s="2"/>
      <c r="EJ26" s="1">
        <v>23</v>
      </c>
      <c r="EK26" s="2"/>
      <c r="EL26" s="2"/>
      <c r="EM26" s="2"/>
      <c r="EO26" s="2"/>
    </row>
    <row r="27" spans="6:145" x14ac:dyDescent="0.25">
      <c r="F27" s="1">
        <v>24</v>
      </c>
      <c r="G27" s="2">
        <v>17.955344610000001</v>
      </c>
      <c r="H27" s="2">
        <v>18.258799682106201</v>
      </c>
      <c r="I27" s="2">
        <v>21.139725603986999</v>
      </c>
      <c r="K27" s="2">
        <v>32.0190139458117</v>
      </c>
      <c r="L27" s="2">
        <v>30.531133600829399</v>
      </c>
      <c r="N27" s="1">
        <v>24</v>
      </c>
      <c r="O27" s="2">
        <v>4.0812048279999997</v>
      </c>
      <c r="P27" s="2">
        <v>4.0878091133000298</v>
      </c>
      <c r="Q27" s="2">
        <v>4.1023884690550503</v>
      </c>
      <c r="S27" s="2">
        <v>23.231627040921101</v>
      </c>
      <c r="T27" s="2">
        <v>18.292085295746801</v>
      </c>
      <c r="V27" s="1">
        <v>24</v>
      </c>
      <c r="W27" s="2">
        <v>14.37325411</v>
      </c>
      <c r="X27" s="2">
        <v>14.344486026602899</v>
      </c>
      <c r="Y27" s="2">
        <v>20.0501775338968</v>
      </c>
      <c r="AA27" s="2">
        <v>40.677271462729102</v>
      </c>
      <c r="AB27" s="2">
        <v>30.450172720235201</v>
      </c>
      <c r="AJ27" s="1">
        <v>24</v>
      </c>
      <c r="AK27" s="2">
        <v>9.3858130245692593</v>
      </c>
      <c r="AL27" s="2">
        <v>10.191398062942101</v>
      </c>
      <c r="AM27" s="2">
        <v>15.0791225895819</v>
      </c>
      <c r="AO27" s="2">
        <v>194.14162366168799</v>
      </c>
      <c r="AP27" s="2">
        <v>24016.4625778523</v>
      </c>
      <c r="AR27" s="1">
        <v>24</v>
      </c>
      <c r="AS27" s="2">
        <v>6.7545344248859198</v>
      </c>
      <c r="AT27" s="2">
        <v>6.750381138312</v>
      </c>
      <c r="AU27" s="2">
        <v>6.7454291982901102</v>
      </c>
      <c r="AW27" s="2">
        <v>175.326102267024</v>
      </c>
      <c r="AX27" s="2">
        <v>17428.490760525499</v>
      </c>
      <c r="AZ27" s="1">
        <v>24</v>
      </c>
      <c r="BA27" s="2">
        <v>7.2504288614287304</v>
      </c>
      <c r="BB27" s="2">
        <v>8.1886035267012591</v>
      </c>
      <c r="BC27" s="2">
        <v>22.892080957086399</v>
      </c>
      <c r="BE27" s="2">
        <v>117.105084760924</v>
      </c>
      <c r="BF27" s="2">
        <v>22230.932831000799</v>
      </c>
      <c r="BN27" s="1">
        <v>24</v>
      </c>
      <c r="BO27" s="2">
        <v>0.83486535391632999</v>
      </c>
      <c r="BP27" s="2">
        <v>0.854443288878314</v>
      </c>
      <c r="BQ27" s="2">
        <v>0.86687171887405501</v>
      </c>
      <c r="BS27" s="2">
        <v>0.78925259702104</v>
      </c>
      <c r="BT27" s="2">
        <v>0.84485642356060697</v>
      </c>
      <c r="BV27" s="1">
        <v>24</v>
      </c>
      <c r="BW27" s="2">
        <v>0.78338126163940103</v>
      </c>
      <c r="BX27" s="2">
        <v>0.78342987319300605</v>
      </c>
      <c r="BY27" s="2">
        <v>0.78454886035572602</v>
      </c>
      <c r="CA27" s="2">
        <v>0.87934361331067501</v>
      </c>
      <c r="CB27" s="2">
        <v>0.86529173027669304</v>
      </c>
      <c r="CD27" s="1">
        <v>24</v>
      </c>
      <c r="CE27" s="2">
        <v>1.1017192105490199</v>
      </c>
      <c r="CF27" s="2">
        <v>1.0706967004060199</v>
      </c>
      <c r="CG27" s="2">
        <v>1.5924856890533501</v>
      </c>
      <c r="CI27" s="2">
        <v>0.83558338841833302</v>
      </c>
      <c r="CJ27" s="2">
        <v>0.87495327484569496</v>
      </c>
      <c r="CQ27" s="1">
        <v>24</v>
      </c>
      <c r="CR27" s="2">
        <v>1.43159227700753E-2</v>
      </c>
      <c r="CS27" s="2">
        <v>1.22855525514322E-2</v>
      </c>
      <c r="CT27" s="2">
        <v>1.2256893463548401E-2</v>
      </c>
      <c r="CV27" s="2">
        <v>2.54490818281429E-2</v>
      </c>
      <c r="CY27" s="1">
        <v>24</v>
      </c>
      <c r="CZ27" s="2">
        <v>3.4939472992193299E-2</v>
      </c>
      <c r="DA27" s="2">
        <v>3.4931558748991301E-2</v>
      </c>
      <c r="DB27" s="2">
        <v>3.4881378425145403E-2</v>
      </c>
      <c r="DD27" s="2">
        <v>2.8006422448873001E-2</v>
      </c>
      <c r="DG27" s="1">
        <v>24</v>
      </c>
      <c r="DH27" s="2">
        <v>3.0511957157757E-3</v>
      </c>
      <c r="DI27" s="2">
        <v>1.0358852236871999E-3</v>
      </c>
      <c r="DJ27" s="2">
        <v>7.5843936968899997E-4</v>
      </c>
      <c r="DL27" s="2">
        <v>3.7231636166585202E-2</v>
      </c>
      <c r="DT27" s="1">
        <v>24</v>
      </c>
      <c r="DU27" s="2"/>
      <c r="DV27" s="2"/>
      <c r="DW27" s="2"/>
      <c r="DY27" s="2"/>
      <c r="EB27" s="1">
        <v>24</v>
      </c>
      <c r="EC27" s="2"/>
      <c r="ED27" s="2"/>
      <c r="EE27" s="2"/>
      <c r="EG27" s="2"/>
      <c r="EJ27" s="1">
        <v>24</v>
      </c>
      <c r="EK27" s="2"/>
      <c r="EL27" s="2"/>
      <c r="EM27" s="2"/>
      <c r="EO27" s="2"/>
    </row>
    <row r="28" spans="6:145" x14ac:dyDescent="0.25">
      <c r="F28" s="1">
        <v>25</v>
      </c>
      <c r="G28" s="2">
        <v>21.74628792</v>
      </c>
      <c r="H28" s="2">
        <v>18.230466670812401</v>
      </c>
      <c r="I28" s="2">
        <v>17.971202629419999</v>
      </c>
      <c r="K28" s="2">
        <v>32.074189774125699</v>
      </c>
      <c r="L28" s="2">
        <v>35.660223264663202</v>
      </c>
      <c r="N28" s="1">
        <v>25</v>
      </c>
      <c r="O28" s="2">
        <v>4.091419439</v>
      </c>
      <c r="P28" s="2">
        <v>4.0694504725544203</v>
      </c>
      <c r="Q28" s="2">
        <v>4.0857426187243302</v>
      </c>
      <c r="S28" s="2">
        <v>23.2185234534975</v>
      </c>
      <c r="T28" s="2">
        <v>19.077397315600798</v>
      </c>
      <c r="V28" s="1">
        <v>25</v>
      </c>
      <c r="W28" s="2">
        <v>16.769939340000001</v>
      </c>
      <c r="X28" s="2">
        <v>14.456396139847</v>
      </c>
      <c r="Y28" s="2">
        <v>14.788424801353701</v>
      </c>
      <c r="AA28" s="2">
        <v>40.964298857945899</v>
      </c>
      <c r="AB28" s="2">
        <v>29.3238695686541</v>
      </c>
      <c r="AJ28" s="1">
        <v>25</v>
      </c>
      <c r="AK28" s="2">
        <v>9.9664346375143698</v>
      </c>
      <c r="AL28" s="2">
        <v>10.2620018427017</v>
      </c>
      <c r="AM28" s="2">
        <v>13.08667173702</v>
      </c>
      <c r="AO28" s="2">
        <v>156.76875091873401</v>
      </c>
      <c r="AP28" s="2">
        <v>36547.563747440101</v>
      </c>
      <c r="AR28" s="1">
        <v>25</v>
      </c>
      <c r="AS28" s="2">
        <v>6.79331849625241</v>
      </c>
      <c r="AT28" s="2">
        <v>6.6848722685077497</v>
      </c>
      <c r="AU28" s="2">
        <v>6.7411358351229804</v>
      </c>
      <c r="AW28" s="2">
        <v>161.86865084386901</v>
      </c>
      <c r="AX28" s="2">
        <v>20430.494187179102</v>
      </c>
      <c r="AZ28" s="1">
        <v>25</v>
      </c>
      <c r="BA28" s="2">
        <v>7.9171897754376301</v>
      </c>
      <c r="BB28" s="2">
        <v>8.7385969099324292</v>
      </c>
      <c r="BC28" s="2">
        <v>12.4218480448615</v>
      </c>
      <c r="BE28" s="2">
        <v>108.560495348335</v>
      </c>
      <c r="BF28" s="2">
        <v>32182.796851884799</v>
      </c>
      <c r="BN28" s="1">
        <v>25</v>
      </c>
      <c r="BO28" s="2">
        <v>0.95246522434130598</v>
      </c>
      <c r="BP28" s="2">
        <v>0.83403774219316495</v>
      </c>
      <c r="BQ28" s="2">
        <v>0.89944701565663199</v>
      </c>
      <c r="BS28" s="2">
        <v>0.79837939644383504</v>
      </c>
      <c r="BT28" s="2">
        <v>1.26239294334679</v>
      </c>
      <c r="BV28" s="1">
        <v>25</v>
      </c>
      <c r="BW28" s="2">
        <v>0.78339257207767099</v>
      </c>
      <c r="BX28" s="2">
        <v>0.78282837354578405</v>
      </c>
      <c r="BY28" s="2">
        <v>0.78436816884457405</v>
      </c>
      <c r="CA28" s="2">
        <v>0.85588964441843196</v>
      </c>
      <c r="CB28" s="2">
        <v>0.849453671296579</v>
      </c>
      <c r="CD28" s="1">
        <v>25</v>
      </c>
      <c r="CE28" s="2">
        <v>1.25310886745971</v>
      </c>
      <c r="CF28" s="2">
        <v>1.0696913661512599</v>
      </c>
      <c r="CG28" s="2">
        <v>1.61519901516028</v>
      </c>
      <c r="CI28" s="2">
        <v>0.87084975183619795</v>
      </c>
      <c r="CJ28" s="2">
        <v>1.3095872173690399</v>
      </c>
      <c r="CQ28" s="1">
        <v>25</v>
      </c>
      <c r="CR28" s="2">
        <v>1.3234994682008601E-2</v>
      </c>
      <c r="CS28" s="2">
        <v>1.2118603336288499E-2</v>
      </c>
      <c r="CT28" s="2">
        <v>1.2155856261823699E-2</v>
      </c>
      <c r="CV28" s="2">
        <v>3.2907434672620202E-2</v>
      </c>
      <c r="CY28" s="1">
        <v>25</v>
      </c>
      <c r="CZ28" s="2">
        <v>3.5067363239943E-2</v>
      </c>
      <c r="DA28" s="2">
        <v>3.4909034986939702E-2</v>
      </c>
      <c r="DB28" s="2">
        <v>3.4866523373098202E-2</v>
      </c>
      <c r="DD28" s="2">
        <v>3.3788146475806198E-2</v>
      </c>
      <c r="DG28" s="1">
        <v>25</v>
      </c>
      <c r="DH28" s="2">
        <v>2.3238722064683999E-3</v>
      </c>
      <c r="DI28" s="2">
        <v>7.6708319504460005E-4</v>
      </c>
      <c r="DJ28" s="2">
        <v>6.5681208794539999E-4</v>
      </c>
      <c r="DL28" s="2">
        <v>3.7198867105710597E-2</v>
      </c>
      <c r="DT28" s="1">
        <v>25</v>
      </c>
      <c r="DU28" s="2"/>
      <c r="DV28" s="2"/>
      <c r="DW28" s="2"/>
      <c r="DY28" s="2"/>
      <c r="EB28" s="1">
        <v>25</v>
      </c>
      <c r="EC28" s="2"/>
      <c r="ED28" s="2"/>
      <c r="EE28" s="2"/>
      <c r="EG28" s="2"/>
      <c r="EJ28" s="1">
        <v>25</v>
      </c>
      <c r="EK28" s="2"/>
      <c r="EL28" s="2"/>
      <c r="EM28" s="2"/>
      <c r="EO28" s="2"/>
    </row>
    <row r="29" spans="6:145" x14ac:dyDescent="0.25">
      <c r="F29" s="1">
        <v>26</v>
      </c>
      <c r="G29" s="2">
        <v>19.34985395</v>
      </c>
      <c r="H29" s="2">
        <v>16.682682803961299</v>
      </c>
      <c r="I29" s="2">
        <v>17.930773658962998</v>
      </c>
      <c r="K29" s="2">
        <v>30.8588596018656</v>
      </c>
      <c r="L29" s="2">
        <v>31.861535950129198</v>
      </c>
      <c r="N29" s="1">
        <v>26</v>
      </c>
      <c r="O29" s="2">
        <v>4.0871011069999996</v>
      </c>
      <c r="P29" s="2">
        <v>4.0803394422737904</v>
      </c>
      <c r="Q29" s="2">
        <v>4.0892974697681996</v>
      </c>
      <c r="S29" s="2">
        <v>23.177305499561001</v>
      </c>
      <c r="T29" s="2">
        <v>21.9593824443835</v>
      </c>
      <c r="V29" s="1">
        <v>26</v>
      </c>
      <c r="W29" s="2">
        <v>15.27018314</v>
      </c>
      <c r="X29" s="2">
        <v>12.934331748070599</v>
      </c>
      <c r="Y29" s="2">
        <v>16.307494461999401</v>
      </c>
      <c r="AA29" s="2">
        <v>39.079818297912801</v>
      </c>
      <c r="AB29" s="2">
        <v>34.735919700033598</v>
      </c>
      <c r="AJ29" s="1">
        <v>26</v>
      </c>
      <c r="AK29" s="2">
        <v>9.0512206961046697</v>
      </c>
      <c r="AL29" s="2">
        <v>10.2998237938901</v>
      </c>
      <c r="AM29" s="2">
        <v>11.275066793411099</v>
      </c>
      <c r="AO29" s="2">
        <v>174.550540805932</v>
      </c>
      <c r="AP29" s="2">
        <v>19529.390074607301</v>
      </c>
      <c r="AR29" s="1">
        <v>26</v>
      </c>
      <c r="AS29" s="2">
        <v>6.7455216812107599</v>
      </c>
      <c r="AT29" s="2">
        <v>6.6843687406713297</v>
      </c>
      <c r="AU29" s="2">
        <v>6.7414909753200902</v>
      </c>
      <c r="AW29" s="2">
        <v>167.39693166674101</v>
      </c>
      <c r="AX29" s="2">
        <v>10293.2308003816</v>
      </c>
      <c r="AZ29" s="1">
        <v>26</v>
      </c>
      <c r="BA29" s="2">
        <v>7.0702267965834196</v>
      </c>
      <c r="BB29" s="2">
        <v>8.3676755943410708</v>
      </c>
      <c r="BC29" s="2">
        <v>9.6900035074396609</v>
      </c>
      <c r="BE29" s="2">
        <v>107.148937362998</v>
      </c>
      <c r="BF29" s="2">
        <v>19571.868173376901</v>
      </c>
      <c r="BN29" s="1">
        <v>26</v>
      </c>
      <c r="BO29" s="2">
        <v>0.86246553186544195</v>
      </c>
      <c r="BP29" s="2">
        <v>0.84681005286288302</v>
      </c>
      <c r="BQ29" s="2">
        <v>0.88717115324606599</v>
      </c>
      <c r="BS29" s="2">
        <v>0.83311005985869502</v>
      </c>
      <c r="BT29" s="2">
        <v>0.83711190182133599</v>
      </c>
      <c r="BV29" s="1">
        <v>26</v>
      </c>
      <c r="BW29" s="2">
        <v>0.78316246830823399</v>
      </c>
      <c r="BX29" s="2">
        <v>0.78319231234333198</v>
      </c>
      <c r="BY29" s="2">
        <v>0.78503499069825999</v>
      </c>
      <c r="CA29" s="2">
        <v>0.87245302923284296</v>
      </c>
      <c r="CB29" s="2">
        <v>0.86328953861243596</v>
      </c>
      <c r="CD29" s="1">
        <v>26</v>
      </c>
      <c r="CE29" s="2">
        <v>1.17042422667336</v>
      </c>
      <c r="CF29" s="2">
        <v>1.0559676534821301</v>
      </c>
      <c r="CG29" s="2">
        <v>1.6744505815017301</v>
      </c>
      <c r="CI29" s="2">
        <v>0.94947180246367302</v>
      </c>
      <c r="CJ29" s="2">
        <v>0.86590814915743697</v>
      </c>
      <c r="CQ29" s="1">
        <v>26</v>
      </c>
      <c r="CR29" s="2">
        <v>1.38651993342425E-2</v>
      </c>
      <c r="CS29" s="2">
        <v>1.28792866474218E-2</v>
      </c>
      <c r="CT29" s="2">
        <v>1.19875660359916E-2</v>
      </c>
      <c r="CV29" s="2">
        <v>3.0308098730919199E-2</v>
      </c>
      <c r="CY29" s="1">
        <v>26</v>
      </c>
      <c r="CZ29" s="2">
        <v>3.4990929775011198E-2</v>
      </c>
      <c r="DA29" s="2">
        <v>3.5028089282399297E-2</v>
      </c>
      <c r="DB29" s="2">
        <v>3.4847734556216398E-2</v>
      </c>
      <c r="DD29" s="2">
        <v>3.2419580567529402E-2</v>
      </c>
      <c r="DG29" s="1">
        <v>26</v>
      </c>
      <c r="DH29" s="2">
        <v>2.3973394589549002E-3</v>
      </c>
      <c r="DI29" s="2">
        <v>1.7967026498519E-3</v>
      </c>
      <c r="DJ29" s="2">
        <v>6.4596509174200004E-4</v>
      </c>
      <c r="DL29" s="2">
        <v>3.9815436570850703E-2</v>
      </c>
      <c r="DT29" s="1">
        <v>26</v>
      </c>
      <c r="DU29" s="2"/>
      <c r="DV29" s="2"/>
      <c r="DW29" s="2"/>
      <c r="DY29" s="2"/>
      <c r="EB29" s="1">
        <v>26</v>
      </c>
      <c r="EC29" s="2"/>
      <c r="ED29" s="2"/>
      <c r="EE29" s="2"/>
      <c r="EG29" s="2"/>
      <c r="EJ29" s="1">
        <v>26</v>
      </c>
      <c r="EK29" s="2"/>
      <c r="EL29" s="2"/>
      <c r="EM29" s="2"/>
      <c r="EO29" s="2"/>
    </row>
    <row r="30" spans="6:145" x14ac:dyDescent="0.25">
      <c r="F30" s="1">
        <v>27</v>
      </c>
      <c r="G30" s="2">
        <v>19.13972626</v>
      </c>
      <c r="H30" s="2">
        <v>21.245295361369401</v>
      </c>
      <c r="I30" s="2">
        <v>34.559305305179201</v>
      </c>
      <c r="K30" s="2">
        <v>30.417294546579399</v>
      </c>
      <c r="L30" s="2">
        <v>41.798666214211401</v>
      </c>
      <c r="N30" s="1">
        <v>27</v>
      </c>
      <c r="O30" s="2">
        <v>4.0893801820000002</v>
      </c>
      <c r="P30" s="2">
        <v>4.0815676185887799</v>
      </c>
      <c r="Q30" s="2">
        <v>4.0890964336806102</v>
      </c>
      <c r="S30" s="2">
        <v>22.9844595313069</v>
      </c>
      <c r="T30" s="2">
        <v>22.667287439613801</v>
      </c>
      <c r="V30" s="1">
        <v>27</v>
      </c>
      <c r="W30" s="2">
        <v>14.823870400000001</v>
      </c>
      <c r="X30" s="2">
        <v>16.2140206749391</v>
      </c>
      <c r="Y30" s="2">
        <v>29.708817454426899</v>
      </c>
      <c r="AA30" s="2">
        <v>39.055329355142902</v>
      </c>
      <c r="AB30" s="2">
        <v>44.887595098002599</v>
      </c>
      <c r="AJ30" s="1">
        <v>27</v>
      </c>
      <c r="AK30" s="2">
        <v>9.3129820765083409</v>
      </c>
      <c r="AL30" s="2">
        <v>9.8689113907549899</v>
      </c>
      <c r="AM30" s="2">
        <v>14.9624821095426</v>
      </c>
      <c r="AO30" s="2">
        <v>187.61176481018899</v>
      </c>
      <c r="AP30" s="2">
        <v>31616.759637312502</v>
      </c>
      <c r="AR30" s="1">
        <v>27</v>
      </c>
      <c r="AS30" s="2">
        <v>6.7914281072058102</v>
      </c>
      <c r="AT30" s="2">
        <v>6.7874001692728099</v>
      </c>
      <c r="AU30" s="2">
        <v>6.7409833767368497</v>
      </c>
      <c r="AW30" s="2">
        <v>182.21351987771499</v>
      </c>
      <c r="AX30" s="2">
        <v>24564.903429743099</v>
      </c>
      <c r="AZ30" s="1">
        <v>27</v>
      </c>
      <c r="BA30" s="2">
        <v>7.2846973390239604</v>
      </c>
      <c r="BB30" s="2">
        <v>7.6074398823326099</v>
      </c>
      <c r="BC30" s="2">
        <v>13.6457209845588</v>
      </c>
      <c r="BE30" s="2">
        <v>112.51763070836201</v>
      </c>
      <c r="BF30" s="2">
        <v>28067.516884999401</v>
      </c>
      <c r="BN30" s="1">
        <v>27</v>
      </c>
      <c r="BO30" s="2">
        <v>0.81952992402623903</v>
      </c>
      <c r="BP30" s="2">
        <v>0.82179072820066301</v>
      </c>
      <c r="BQ30" s="2">
        <v>0.92874065471013401</v>
      </c>
      <c r="BS30" s="2">
        <v>0.80218721748243005</v>
      </c>
      <c r="BT30" s="2">
        <v>1.0896008908417101</v>
      </c>
      <c r="BV30" s="1">
        <v>27</v>
      </c>
      <c r="BW30" s="2">
        <v>0.78390396997537704</v>
      </c>
      <c r="BX30" s="2">
        <v>0.78342129185181897</v>
      </c>
      <c r="BY30" s="2">
        <v>0.78382651977434303</v>
      </c>
      <c r="CA30" s="2">
        <v>0.86775931400899198</v>
      </c>
      <c r="CB30" s="2">
        <v>0.85616110374446597</v>
      </c>
      <c r="CD30" s="1">
        <v>27</v>
      </c>
      <c r="CE30" s="2">
        <v>1.09323144052985</v>
      </c>
      <c r="CF30" s="2">
        <v>1.0739377826985801</v>
      </c>
      <c r="CG30" s="2">
        <v>1.6584541644967199</v>
      </c>
      <c r="CI30" s="2">
        <v>0.87912289472129101</v>
      </c>
      <c r="CJ30" s="2">
        <v>1.10501746412622</v>
      </c>
      <c r="CQ30" s="1">
        <v>27</v>
      </c>
      <c r="CR30" s="2">
        <v>1.4111175193322899E-2</v>
      </c>
      <c r="CS30" s="2">
        <v>1.28475567817591E-2</v>
      </c>
      <c r="CT30" s="2">
        <v>1.21982309092374E-2</v>
      </c>
      <c r="CV30" s="2">
        <v>2.4039650448180998E-2</v>
      </c>
      <c r="CY30" s="1">
        <v>27</v>
      </c>
      <c r="CZ30" s="2">
        <v>3.5242252267730603E-2</v>
      </c>
      <c r="DA30" s="2">
        <v>3.5045617777034001E-2</v>
      </c>
      <c r="DB30" s="2">
        <v>3.4875018825320098E-2</v>
      </c>
      <c r="DD30" s="2">
        <v>3.1984489925426997E-2</v>
      </c>
      <c r="DG30" s="1">
        <v>27</v>
      </c>
      <c r="DH30" s="2">
        <v>3.0869377178195999E-3</v>
      </c>
      <c r="DI30" s="2">
        <v>1.6092205739069E-3</v>
      </c>
      <c r="DJ30" s="2">
        <v>6.9137840624660003E-4</v>
      </c>
      <c r="DL30" s="2">
        <v>3.3127989630168997E-2</v>
      </c>
      <c r="DT30" s="1">
        <v>27</v>
      </c>
      <c r="DU30" s="2"/>
      <c r="DV30" s="2"/>
      <c r="DW30" s="2"/>
      <c r="DY30" s="2"/>
      <c r="EB30" s="1">
        <v>27</v>
      </c>
      <c r="EC30" s="2"/>
      <c r="ED30" s="2"/>
      <c r="EE30" s="2"/>
      <c r="EG30" s="2"/>
      <c r="EJ30" s="1">
        <v>27</v>
      </c>
      <c r="EK30" s="2"/>
      <c r="EL30" s="2"/>
      <c r="EM30" s="2"/>
      <c r="EO30" s="2"/>
    </row>
    <row r="31" spans="6:145" x14ac:dyDescent="0.25">
      <c r="F31" s="1">
        <v>28</v>
      </c>
      <c r="G31" s="2">
        <v>16.641854290000001</v>
      </c>
      <c r="H31" s="2">
        <v>21.452162162603202</v>
      </c>
      <c r="I31" s="2">
        <v>18.4381409089724</v>
      </c>
      <c r="K31" s="2">
        <v>33.297294305018298</v>
      </c>
      <c r="L31" s="2">
        <v>35.922564522788797</v>
      </c>
      <c r="N31" s="1">
        <v>28</v>
      </c>
      <c r="O31" s="2">
        <v>4.0983864729999997</v>
      </c>
      <c r="P31" s="2">
        <v>4.0863874982491897</v>
      </c>
      <c r="Q31" s="2">
        <v>4.0840163969091297</v>
      </c>
      <c r="S31" s="2">
        <v>22.621850339703698</v>
      </c>
      <c r="T31" s="2">
        <v>18.615750714871801</v>
      </c>
      <c r="V31" s="1">
        <v>28</v>
      </c>
      <c r="W31" s="2">
        <v>13.14795801</v>
      </c>
      <c r="X31" s="2">
        <v>16.576390760284799</v>
      </c>
      <c r="Y31" s="2">
        <v>16.236554751884601</v>
      </c>
      <c r="AA31" s="2">
        <v>41.534354472163798</v>
      </c>
      <c r="AB31" s="2">
        <v>37.547447066157901</v>
      </c>
      <c r="AJ31" s="1">
        <v>28</v>
      </c>
      <c r="AK31" s="2">
        <v>9.8014167099017193</v>
      </c>
      <c r="AL31" s="2">
        <v>11.0164066219037</v>
      </c>
      <c r="AM31" s="2">
        <v>14.0851475289791</v>
      </c>
      <c r="AO31" s="2">
        <v>229.292562405544</v>
      </c>
      <c r="AP31" s="2">
        <v>32132.078431199701</v>
      </c>
      <c r="AR31" s="1">
        <v>28</v>
      </c>
      <c r="AS31" s="2">
        <v>6.77494103486318</v>
      </c>
      <c r="AT31" s="2">
        <v>6.7048380570831396</v>
      </c>
      <c r="AU31" s="2">
        <v>6.7310039722643804</v>
      </c>
      <c r="AW31" s="2">
        <v>233.50764817501101</v>
      </c>
      <c r="AX31" s="2">
        <v>16928.396449072599</v>
      </c>
      <c r="AZ31" s="1">
        <v>28</v>
      </c>
      <c r="BA31" s="2">
        <v>8.3041283244617503</v>
      </c>
      <c r="BB31" s="2">
        <v>9.9887497556154496</v>
      </c>
      <c r="BC31" s="2">
        <v>12.6355135556623</v>
      </c>
      <c r="BE31" s="2">
        <v>140.03378569147</v>
      </c>
      <c r="BF31" s="2">
        <v>30243.158667133201</v>
      </c>
      <c r="BN31" s="1">
        <v>28</v>
      </c>
      <c r="BO31" s="2">
        <v>0.83616671860281999</v>
      </c>
      <c r="BP31" s="2">
        <v>0.816425203693528</v>
      </c>
      <c r="BQ31" s="2">
        <v>0.904856394904202</v>
      </c>
      <c r="BS31" s="2">
        <v>0.86754710738894902</v>
      </c>
      <c r="BT31" s="2">
        <v>1.0718035845223199</v>
      </c>
      <c r="BV31" s="1">
        <v>28</v>
      </c>
      <c r="BW31" s="2">
        <v>0.78332065007567597</v>
      </c>
      <c r="BX31" s="2">
        <v>0.78357279139994196</v>
      </c>
      <c r="BY31" s="2">
        <v>0.78326189513909605</v>
      </c>
      <c r="CA31" s="2">
        <v>0.88394219957014797</v>
      </c>
      <c r="CB31" s="2">
        <v>0.85817036320201501</v>
      </c>
      <c r="CD31" s="1">
        <v>28</v>
      </c>
      <c r="CE31" s="2">
        <v>1.0920908269982701</v>
      </c>
      <c r="CF31" s="2">
        <v>1.0636665901764699</v>
      </c>
      <c r="CG31" s="2">
        <v>1.6954545603728</v>
      </c>
      <c r="CI31" s="2">
        <v>0.87498523573087905</v>
      </c>
      <c r="CJ31" s="2">
        <v>1.0651900777680701</v>
      </c>
      <c r="CQ31" s="1">
        <v>28</v>
      </c>
      <c r="CR31" s="2">
        <v>1.29080944983661E-2</v>
      </c>
      <c r="CS31" s="2">
        <v>1.2817764524207799E-2</v>
      </c>
      <c r="CT31" s="2">
        <v>1.2284845499482E-2</v>
      </c>
      <c r="CV31" s="2">
        <v>2.6223579299077801E-2</v>
      </c>
      <c r="CY31" s="1">
        <v>28</v>
      </c>
      <c r="CZ31" s="2">
        <v>3.5001824929080501E-2</v>
      </c>
      <c r="DA31" s="2">
        <v>3.4986817558019502E-2</v>
      </c>
      <c r="DB31" s="2">
        <v>3.4893036118261701E-2</v>
      </c>
      <c r="DD31" s="2">
        <v>3.0701028145614699E-2</v>
      </c>
      <c r="DG31" s="1">
        <v>28</v>
      </c>
      <c r="DH31" s="2">
        <v>1.6026807519332999E-3</v>
      </c>
      <c r="DI31" s="2">
        <v>1.6278894082475E-3</v>
      </c>
      <c r="DJ31" s="2">
        <v>8.4312640741029997E-4</v>
      </c>
      <c r="DL31" s="2">
        <v>3.5562880102481098E-2</v>
      </c>
      <c r="DT31" s="1">
        <v>28</v>
      </c>
      <c r="DU31" s="2"/>
      <c r="DV31" s="2"/>
      <c r="DW31" s="2"/>
      <c r="DY31" s="2"/>
      <c r="EB31" s="1">
        <v>28</v>
      </c>
      <c r="EC31" s="2"/>
      <c r="ED31" s="2"/>
      <c r="EE31" s="2"/>
      <c r="EG31" s="2"/>
      <c r="EJ31" s="1">
        <v>28</v>
      </c>
      <c r="EK31" s="2"/>
      <c r="EL31" s="2"/>
      <c r="EM31" s="2"/>
      <c r="EO31" s="2"/>
    </row>
    <row r="32" spans="6:145" x14ac:dyDescent="0.25">
      <c r="F32" s="1">
        <v>29</v>
      </c>
      <c r="G32" s="2">
        <v>21.77946764</v>
      </c>
      <c r="H32" s="2">
        <v>20.528994971935798</v>
      </c>
      <c r="I32" s="2">
        <v>17.634718732964501</v>
      </c>
      <c r="K32" s="2">
        <v>35.761174842156201</v>
      </c>
      <c r="L32" s="2">
        <v>30.795974388339701</v>
      </c>
      <c r="N32" s="1">
        <v>29</v>
      </c>
      <c r="O32" s="2">
        <v>4.086653664</v>
      </c>
      <c r="P32" s="2">
        <v>4.0740114227744497</v>
      </c>
      <c r="Q32" s="2">
        <v>4.1014525350793303</v>
      </c>
      <c r="S32" s="2">
        <v>23.178038393663599</v>
      </c>
      <c r="T32" s="2">
        <v>25.4420851952327</v>
      </c>
      <c r="V32" s="1">
        <v>29</v>
      </c>
      <c r="W32" s="2">
        <v>16.542535350000001</v>
      </c>
      <c r="X32" s="2">
        <v>15.8890666298034</v>
      </c>
      <c r="Y32" s="2">
        <v>13.5040036794488</v>
      </c>
      <c r="AA32" s="2">
        <v>44.656697476483302</v>
      </c>
      <c r="AB32" s="2">
        <v>24.0828934552456</v>
      </c>
      <c r="AJ32" s="1">
        <v>29</v>
      </c>
      <c r="AK32" s="2">
        <v>10.353891641031</v>
      </c>
      <c r="AL32" s="2">
        <v>9.0132514830344004</v>
      </c>
      <c r="AM32" s="2">
        <v>15.0201675019945</v>
      </c>
      <c r="AO32" s="2">
        <v>163.73254335862001</v>
      </c>
      <c r="AP32" s="2">
        <v>37623.354498973596</v>
      </c>
      <c r="AR32" s="1">
        <v>29</v>
      </c>
      <c r="AS32" s="2">
        <v>6.7526467242130401</v>
      </c>
      <c r="AT32" s="2">
        <v>6.7405658305546599</v>
      </c>
      <c r="AU32" s="2">
        <v>6.73581022394497</v>
      </c>
      <c r="AW32" s="2">
        <v>163.13382043828599</v>
      </c>
      <c r="AX32" s="2">
        <v>17238.281303870099</v>
      </c>
      <c r="AZ32" s="1">
        <v>29</v>
      </c>
      <c r="BA32" s="2">
        <v>7.6590572579583096</v>
      </c>
      <c r="BB32" s="2">
        <v>6.43726515751053</v>
      </c>
      <c r="BC32" s="2">
        <v>16.108183426360299</v>
      </c>
      <c r="BE32" s="2">
        <v>101.552229706427</v>
      </c>
      <c r="BF32" s="2">
        <v>36483.535792167997</v>
      </c>
      <c r="BN32" s="1">
        <v>29</v>
      </c>
      <c r="BO32" s="2">
        <v>0.86385932868077897</v>
      </c>
      <c r="BP32" s="2">
        <v>0.80807534724498498</v>
      </c>
      <c r="BQ32" s="2">
        <v>0.90108113419918101</v>
      </c>
      <c r="BS32" s="2">
        <v>0.78447990995571604</v>
      </c>
      <c r="BT32" s="2">
        <v>0.96940398731178801</v>
      </c>
      <c r="BV32" s="1">
        <v>29</v>
      </c>
      <c r="BW32" s="2">
        <v>0.78363773180919505</v>
      </c>
      <c r="BX32" s="2">
        <v>0.78292448081992005</v>
      </c>
      <c r="BY32" s="2">
        <v>0.78380193219250605</v>
      </c>
      <c r="CA32" s="2">
        <v>0.87133537378474701</v>
      </c>
      <c r="CB32" s="2">
        <v>0.85539592327195502</v>
      </c>
      <c r="CD32" s="1">
        <v>29</v>
      </c>
      <c r="CE32" s="2">
        <v>1.1461219443150299</v>
      </c>
      <c r="CF32" s="2">
        <v>1.04656089268125</v>
      </c>
      <c r="CG32" s="2">
        <v>1.6697567033084999</v>
      </c>
      <c r="CI32" s="2">
        <v>0.85257323913365002</v>
      </c>
      <c r="CJ32" s="2">
        <v>0.99725714526003395</v>
      </c>
      <c r="CQ32" s="1">
        <v>29</v>
      </c>
      <c r="CR32" s="2">
        <v>1.3847356944725E-2</v>
      </c>
      <c r="CS32" s="2">
        <v>1.2473972843332799E-2</v>
      </c>
      <c r="CT32" s="2">
        <v>1.2027546661017E-2</v>
      </c>
      <c r="CV32" s="2">
        <v>2.2509164967104801E-2</v>
      </c>
      <c r="CY32" s="1">
        <v>29</v>
      </c>
      <c r="CZ32" s="2">
        <v>3.4793314977657502E-2</v>
      </c>
      <c r="DA32" s="2">
        <v>3.5028107689044297E-2</v>
      </c>
      <c r="DB32" s="2">
        <v>3.4888291656163299E-2</v>
      </c>
      <c r="DD32" s="2">
        <v>2.7730974458403401E-2</v>
      </c>
      <c r="DG32" s="1">
        <v>29</v>
      </c>
      <c r="DH32" s="2">
        <v>2.63759070015E-3</v>
      </c>
      <c r="DI32" s="2">
        <v>1.4314646387727E-3</v>
      </c>
      <c r="DJ32" s="2">
        <v>7.3100542289959995E-4</v>
      </c>
      <c r="DL32" s="2">
        <v>3.1220302686228201E-2</v>
      </c>
      <c r="DT32" s="1">
        <v>29</v>
      </c>
      <c r="DU32" s="2"/>
      <c r="DV32" s="2"/>
      <c r="DW32" s="2"/>
      <c r="DY32" s="2"/>
      <c r="EB32" s="1">
        <v>29</v>
      </c>
      <c r="EC32" s="2"/>
      <c r="ED32" s="2"/>
      <c r="EE32" s="2"/>
      <c r="EG32" s="2"/>
      <c r="EJ32" s="1">
        <v>29</v>
      </c>
      <c r="EK32" s="2"/>
      <c r="EL32" s="2"/>
      <c r="EM32" s="2"/>
      <c r="EO32" s="2"/>
    </row>
    <row r="33" spans="6:146" x14ac:dyDescent="0.25">
      <c r="F33" s="1">
        <v>30</v>
      </c>
      <c r="G33" s="2">
        <v>20.36060518</v>
      </c>
      <c r="H33" s="2">
        <v>19.155573568054699</v>
      </c>
      <c r="I33" s="2">
        <v>30.8721948092081</v>
      </c>
      <c r="K33" s="2">
        <v>29.362162682575399</v>
      </c>
      <c r="L33" s="2">
        <v>23.463416242931601</v>
      </c>
      <c r="N33" s="1">
        <v>30</v>
      </c>
      <c r="O33" s="2">
        <v>4.0828661740000003</v>
      </c>
      <c r="P33" s="2">
        <v>4.0832629270563201</v>
      </c>
      <c r="Q33" s="2">
        <v>4.0710220730779296</v>
      </c>
      <c r="S33" s="2">
        <v>23.0962597763288</v>
      </c>
      <c r="T33" s="2">
        <v>16.2629964792457</v>
      </c>
      <c r="V33" s="1">
        <v>30</v>
      </c>
      <c r="W33" s="2">
        <v>16.353340639999999</v>
      </c>
      <c r="X33" s="2">
        <v>14.9315557973592</v>
      </c>
      <c r="Y33" s="2">
        <v>25.895868634923399</v>
      </c>
      <c r="AA33" s="2">
        <v>37.763913966965802</v>
      </c>
      <c r="AB33" s="2">
        <v>23.723706780910199</v>
      </c>
      <c r="AJ33" s="1">
        <v>30</v>
      </c>
      <c r="AK33" s="2">
        <v>10.2054375245187</v>
      </c>
      <c r="AL33" s="2">
        <v>9.4373675111424102</v>
      </c>
      <c r="AM33" s="2">
        <v>12.800758462427</v>
      </c>
      <c r="AO33" s="2">
        <v>186.84106182801099</v>
      </c>
      <c r="AP33" s="2">
        <v>25971.751713115202</v>
      </c>
      <c r="AR33" s="1">
        <v>30</v>
      </c>
      <c r="AS33" s="2">
        <v>6.7531217490748299</v>
      </c>
      <c r="AT33" s="2">
        <v>6.7613733643699101</v>
      </c>
      <c r="AU33" s="2">
        <v>6.7432996771637601</v>
      </c>
      <c r="AW33" s="2">
        <v>175.26313669521301</v>
      </c>
      <c r="AX33" s="2">
        <v>18137.838458940201</v>
      </c>
      <c r="AZ33" s="1">
        <v>30</v>
      </c>
      <c r="BA33" s="2">
        <v>8.7717273392948591</v>
      </c>
      <c r="BB33" s="2">
        <v>7.62212488939391</v>
      </c>
      <c r="BC33" s="2">
        <v>11.267734109433199</v>
      </c>
      <c r="BE33" s="2">
        <v>112.242850518165</v>
      </c>
      <c r="BF33" s="2">
        <v>25620.037418558499</v>
      </c>
      <c r="BN33" s="1">
        <v>30</v>
      </c>
      <c r="BO33" s="2">
        <v>0.89103624378928703</v>
      </c>
      <c r="BP33" s="2">
        <v>0.86367426480284404</v>
      </c>
      <c r="BQ33" s="2">
        <v>0.90685464848086295</v>
      </c>
      <c r="BS33" s="2">
        <v>0.88332344051536005</v>
      </c>
      <c r="BT33" s="2">
        <v>0.84343972475241902</v>
      </c>
      <c r="BV33" s="1">
        <v>30</v>
      </c>
      <c r="BW33" s="2">
        <v>0.78390157745905797</v>
      </c>
      <c r="BX33" s="2">
        <v>0.78221794456308802</v>
      </c>
      <c r="BY33" s="2">
        <v>0.78418511209292996</v>
      </c>
      <c r="CA33" s="2">
        <v>0.91306567210338396</v>
      </c>
      <c r="CB33" s="2">
        <v>0.86323661762486703</v>
      </c>
      <c r="CD33" s="1">
        <v>30</v>
      </c>
      <c r="CE33" s="2">
        <v>1.1806828507910601</v>
      </c>
      <c r="CF33" s="2">
        <v>1.0948654646109599</v>
      </c>
      <c r="CG33" s="2">
        <v>1.6982382894111501</v>
      </c>
      <c r="CI33" s="2">
        <v>0.89614485708650204</v>
      </c>
      <c r="CJ33" s="2">
        <v>0.86582657657836903</v>
      </c>
      <c r="CR33" s="2">
        <v>1.31896997829733E-2</v>
      </c>
      <c r="CS33" s="2">
        <v>1.26636499465261E-2</v>
      </c>
      <c r="CT33" s="2">
        <v>1.1967667457550599E-2</v>
      </c>
      <c r="CV33" s="2">
        <v>5.6866820427796998E-2</v>
      </c>
      <c r="CY33" s="1">
        <v>30</v>
      </c>
      <c r="CZ33" s="2">
        <v>3.5003621279528399E-2</v>
      </c>
      <c r="DA33" s="2">
        <v>3.4971466650264203E-2</v>
      </c>
      <c r="DB33" s="2">
        <v>3.4843689715847198E-2</v>
      </c>
      <c r="DD33" s="2">
        <v>4.28678237101097E-2</v>
      </c>
      <c r="DG33" s="1">
        <v>30</v>
      </c>
      <c r="DH33" s="2">
        <v>2.0745238291808E-3</v>
      </c>
      <c r="DI33" s="2">
        <v>1.5843562312452999E-3</v>
      </c>
      <c r="DJ33" s="2">
        <v>8.44213178127709E-4</v>
      </c>
      <c r="DL33" s="2">
        <v>5.6539264620979399E-2</v>
      </c>
      <c r="DT33" s="1">
        <v>30</v>
      </c>
      <c r="DU33" s="2"/>
      <c r="DV33" s="2"/>
      <c r="DW33" s="2"/>
      <c r="DY33" s="2"/>
      <c r="EB33" s="1">
        <v>30</v>
      </c>
      <c r="EC33" s="2"/>
      <c r="ED33" s="2"/>
      <c r="EE33" s="2"/>
      <c r="EG33" s="2"/>
      <c r="EJ33" s="1">
        <v>30</v>
      </c>
      <c r="EK33" s="2"/>
      <c r="EL33" s="2"/>
      <c r="EM33" s="2"/>
      <c r="EO33" s="2"/>
    </row>
    <row r="34" spans="6:146" x14ac:dyDescent="0.25">
      <c r="F34" s="1" t="s">
        <v>18</v>
      </c>
      <c r="G34" s="1">
        <f>AVERAGE(G4:G33)</f>
        <v>19.158732003666668</v>
      </c>
      <c r="H34" s="1">
        <f t="shared" ref="H34:L34" si="0">AVERAGE(H4:H33)</f>
        <v>19.228724106935282</v>
      </c>
      <c r="I34" s="1">
        <f t="shared" si="0"/>
        <v>22.261611631341388</v>
      </c>
      <c r="J34" s="1">
        <f t="shared" si="0"/>
        <v>30.173728000000001</v>
      </c>
      <c r="K34" s="1">
        <f t="shared" si="0"/>
        <v>30.525903515944044</v>
      </c>
      <c r="L34" s="1">
        <f t="shared" si="0"/>
        <v>31.169209993440251</v>
      </c>
      <c r="M34" s="1"/>
      <c r="N34" s="1" t="s">
        <v>18</v>
      </c>
      <c r="O34" s="1">
        <f t="shared" ref="O34:T34" si="1">AVERAGE(O4:O33)</f>
        <v>4.0865250453333335</v>
      </c>
      <c r="P34" s="1">
        <f t="shared" si="1"/>
        <v>4.0800230123799004</v>
      </c>
      <c r="Q34" s="1">
        <f t="shared" si="1"/>
        <v>4.091284692183641</v>
      </c>
      <c r="R34" s="1">
        <f t="shared" si="1"/>
        <v>4.096711</v>
      </c>
      <c r="S34" s="1">
        <f t="shared" si="1"/>
        <v>23.07282068003682</v>
      </c>
      <c r="T34" s="1">
        <f t="shared" si="1"/>
        <v>20.513787888594003</v>
      </c>
      <c r="U34" s="1"/>
      <c r="V34" s="1" t="s">
        <v>18</v>
      </c>
      <c r="W34" s="1">
        <f t="shared" ref="W34:AB34" si="2">AVERAGE(W4:W33)</f>
        <v>15.060879217666665</v>
      </c>
      <c r="X34" s="1">
        <f t="shared" si="2"/>
        <v>15.087799002445761</v>
      </c>
      <c r="Y34" s="1">
        <f t="shared" si="2"/>
        <v>19.152042824393156</v>
      </c>
      <c r="Z34" s="1">
        <f t="shared" si="2"/>
        <v>23.432532999999999</v>
      </c>
      <c r="AA34" s="1">
        <f t="shared" si="2"/>
        <v>38.818574985234015</v>
      </c>
      <c r="AB34" s="1">
        <f t="shared" si="2"/>
        <v>29.782876342976241</v>
      </c>
      <c r="AJ34" s="1" t="s">
        <v>18</v>
      </c>
      <c r="AK34" s="1">
        <f>AVERAGE(AK4:AK33)</f>
        <v>10.039134625626216</v>
      </c>
      <c r="AL34" s="1">
        <f t="shared" ref="AL34:AP34" si="3">AVERAGE(AL4:AL33)</f>
        <v>10.238836438359446</v>
      </c>
      <c r="AM34" s="1">
        <f t="shared" si="3"/>
        <v>12.834530938415723</v>
      </c>
      <c r="AN34" s="1">
        <f t="shared" si="3"/>
        <v>235.21117000000001</v>
      </c>
      <c r="AO34" s="1">
        <f t="shared" si="3"/>
        <v>178.54029467016639</v>
      </c>
      <c r="AP34" s="1">
        <f t="shared" si="3"/>
        <v>29663.976558296872</v>
      </c>
      <c r="AQ34" s="1"/>
      <c r="AR34" s="1" t="s">
        <v>18</v>
      </c>
      <c r="AS34" s="1">
        <f>AVERAGE(AS4:AS33)</f>
        <v>6.7505464661568135</v>
      </c>
      <c r="AT34" s="1">
        <f t="shared" ref="AT34:AX34" si="4">AVERAGE(AT4:AT33)</f>
        <v>6.7384111509839553</v>
      </c>
      <c r="AU34" s="1">
        <f t="shared" si="4"/>
        <v>6.7403473399427645</v>
      </c>
      <c r="AV34" s="1">
        <f t="shared" si="4"/>
        <v>6.7460420000000001</v>
      </c>
      <c r="AW34" s="1">
        <f t="shared" si="4"/>
        <v>174.86102237206151</v>
      </c>
      <c r="AX34" s="1">
        <f t="shared" si="4"/>
        <v>18013.076534995911</v>
      </c>
      <c r="AY34" s="1"/>
      <c r="AZ34" s="1" t="s">
        <v>18</v>
      </c>
      <c r="BA34" s="1">
        <f>AVERAGE(BA4:BA33)</f>
        <v>7.9678469651593096</v>
      </c>
      <c r="BB34" s="1">
        <f t="shared" ref="BB34:BF34" si="5">AVERAGE(BB4:BB33)</f>
        <v>8.124833973280623</v>
      </c>
      <c r="BC34" s="1">
        <f t="shared" si="5"/>
        <v>13.835448792574338</v>
      </c>
      <c r="BD34" s="1">
        <f t="shared" si="5"/>
        <v>331.87140499999998</v>
      </c>
      <c r="BE34" s="1">
        <f t="shared" si="5"/>
        <v>112.6103383178946</v>
      </c>
      <c r="BF34" s="1">
        <f t="shared" si="5"/>
        <v>27667.476539322241</v>
      </c>
      <c r="BN34" s="1" t="s">
        <v>18</v>
      </c>
      <c r="BO34" s="1">
        <f>AVERAGE(BO4:BO33)</f>
        <v>0.8760908395779945</v>
      </c>
      <c r="BP34" s="1">
        <f t="shared" ref="BP34:BT34" si="6">AVERAGE(BP4:BP33)</f>
        <v>0.83439652143447551</v>
      </c>
      <c r="BQ34" s="1">
        <f t="shared" si="6"/>
        <v>0.90712204851095923</v>
      </c>
      <c r="BR34" s="1">
        <f t="shared" si="6"/>
        <v>1.047682</v>
      </c>
      <c r="BS34" s="1">
        <f t="shared" si="6"/>
        <v>0.82534870016032302</v>
      </c>
      <c r="BT34" s="1">
        <f t="shared" si="6"/>
        <v>0.91530409690055548</v>
      </c>
      <c r="BU34" s="1"/>
      <c r="BV34" s="1" t="s">
        <v>18</v>
      </c>
      <c r="BW34" s="1">
        <f>AVERAGE(BW4:BW33)</f>
        <v>0.78352547046292975</v>
      </c>
      <c r="BX34" s="1">
        <f t="shared" ref="BX34:CB34" si="7">AVERAGE(BX4:BX33)</f>
        <v>0.78338036652347287</v>
      </c>
      <c r="BY34" s="1">
        <f t="shared" si="7"/>
        <v>0.78430403069985233</v>
      </c>
      <c r="BZ34" s="1">
        <f t="shared" si="7"/>
        <v>0.78459800000000002</v>
      </c>
      <c r="CA34" s="1">
        <f t="shared" si="7"/>
        <v>0.88085087851228905</v>
      </c>
      <c r="CB34" s="1">
        <f t="shared" si="7"/>
        <v>0.86006375617125175</v>
      </c>
      <c r="CC34" s="1"/>
      <c r="CD34" s="1" t="s">
        <v>18</v>
      </c>
      <c r="CE34" s="1">
        <f>AVERAGE(CE4:CE33)</f>
        <v>1.1884023614072845</v>
      </c>
      <c r="CF34" s="1">
        <f t="shared" ref="CF34:CJ34" si="8">AVERAGE(CF4:CF33)</f>
        <v>1.0677484711583451</v>
      </c>
      <c r="CG34" s="1">
        <f t="shared" si="8"/>
        <v>1.6771705125488181</v>
      </c>
      <c r="CH34" s="1">
        <f t="shared" si="8"/>
        <v>2.4341870000000001</v>
      </c>
      <c r="CI34" s="1">
        <f t="shared" si="8"/>
        <v>0.90932409040099837</v>
      </c>
      <c r="CJ34" s="1">
        <f t="shared" si="8"/>
        <v>0.93624474590567164</v>
      </c>
      <c r="CQ34" s="1" t="s">
        <v>18</v>
      </c>
      <c r="CR34" s="1">
        <f>AVERAGE(CR4:CR33)</f>
        <v>1.316812166650405E-2</v>
      </c>
      <c r="CS34" s="1">
        <f t="shared" ref="CS34" si="9">AVERAGE(CS4:CS33)</f>
        <v>1.2596996322931849E-2</v>
      </c>
      <c r="CT34" s="1">
        <f t="shared" ref="CT34" si="10">AVERAGE(CT4:CT33)</f>
        <v>1.2140355553382939E-2</v>
      </c>
      <c r="CU34" s="1">
        <f t="shared" ref="CU34:CV34" si="11">AVERAGE(CU4:CU33)</f>
        <v>1.1769E-2</v>
      </c>
      <c r="CV34" s="1">
        <f t="shared" si="11"/>
        <v>2.7238499126069956E-2</v>
      </c>
      <c r="CW34" s="1" t="e">
        <f t="shared" ref="CW34" si="12">AVERAGE(CW4:CW33)</f>
        <v>#DIV/0!</v>
      </c>
      <c r="CX34" s="1"/>
      <c r="CY34" s="1" t="s">
        <v>18</v>
      </c>
      <c r="CZ34" s="1">
        <f>AVERAGE(CZ4:CZ33)</f>
        <v>3.4983053829345953E-2</v>
      </c>
      <c r="DA34" s="1">
        <f t="shared" ref="DA34" si="13">AVERAGE(DA4:DA33)</f>
        <v>3.4953001099391832E-2</v>
      </c>
      <c r="DB34" s="1">
        <f t="shared" ref="DB34" si="14">AVERAGE(DB4:DB33)</f>
        <v>3.4862051759195004E-2</v>
      </c>
      <c r="DC34" s="1">
        <f t="shared" ref="DC34" si="15">AVERAGE(DC4:DC33)</f>
        <v>3.4872E-2</v>
      </c>
      <c r="DD34" s="1">
        <f t="shared" ref="DD34" si="16">AVERAGE(DD4:DD33)</f>
        <v>3.0902558170033616E-2</v>
      </c>
      <c r="DE34" s="1" t="e">
        <f t="shared" ref="DE34" si="17">AVERAGE(DE4:DE33)</f>
        <v>#DIV/0!</v>
      </c>
      <c r="DF34" s="1"/>
      <c r="DG34" s="1" t="s">
        <v>18</v>
      </c>
      <c r="DH34" s="1">
        <f>AVERAGE(DH4:DH33)</f>
        <v>2.1288892856198573E-3</v>
      </c>
      <c r="DI34" s="1">
        <f t="shared" ref="DI34" si="18">AVERAGE(DI4:DI33)</f>
        <v>1.3602715163381367E-3</v>
      </c>
      <c r="DJ34" s="1">
        <f t="shared" ref="DJ34" si="19">AVERAGE(DJ4:DJ33)</f>
        <v>7.9856953611767039E-4</v>
      </c>
      <c r="DK34" s="1">
        <f t="shared" ref="DK34" si="20">AVERAGE(DK4:DK33)</f>
        <v>1.174449E-13</v>
      </c>
      <c r="DL34" s="1">
        <f t="shared" ref="DL34" si="21">AVERAGE(DL4:DL33)</f>
        <v>3.323525256940419E-2</v>
      </c>
      <c r="DM34" s="1" t="e">
        <f t="shared" ref="DM34" si="22">AVERAGE(DM4:DM33)</f>
        <v>#DIV/0!</v>
      </c>
      <c r="DT34" s="1" t="s">
        <v>18</v>
      </c>
      <c r="DU34" s="1">
        <f>AVERAGE(DU4:DU33)</f>
        <v>1.1139245374266</v>
      </c>
      <c r="DV34" s="1">
        <f t="shared" ref="DV34:DZ34" si="23">AVERAGE(DV4:DV33)</f>
        <v>1.2554625677341666</v>
      </c>
      <c r="DW34" s="1">
        <f t="shared" si="23"/>
        <v>1.3613332072595659</v>
      </c>
      <c r="DX34" s="1">
        <f t="shared" si="23"/>
        <v>1.573245</v>
      </c>
      <c r="DY34" s="1">
        <f t="shared" si="23"/>
        <v>0.36529862725330164</v>
      </c>
      <c r="DZ34" s="1" t="e">
        <f t="shared" si="23"/>
        <v>#DIV/0!</v>
      </c>
      <c r="EA34" s="1"/>
      <c r="EB34" s="1" t="s">
        <v>18</v>
      </c>
      <c r="EC34" s="1">
        <f>AVERAGE(EC4:EC33)</f>
        <v>2.8888074655181398E-2</v>
      </c>
      <c r="ED34" s="1">
        <f t="shared" ref="ED34:EH34" si="24">AVERAGE(ED4:ED33)</f>
        <v>3.0857785874767101E-2</v>
      </c>
      <c r="EE34" s="1">
        <f t="shared" si="24"/>
        <v>3.0650279955977178E-2</v>
      </c>
      <c r="EF34" s="1">
        <f t="shared" si="24"/>
        <v>0.81255999999999995</v>
      </c>
      <c r="EG34" s="1">
        <f t="shared" si="24"/>
        <v>0.35541000800546796</v>
      </c>
      <c r="EH34" s="1" t="e">
        <f t="shared" si="24"/>
        <v>#DIV/0!</v>
      </c>
      <c r="EI34" s="1"/>
      <c r="EJ34" s="1" t="s">
        <v>18</v>
      </c>
      <c r="EK34" s="1">
        <f>AVERAGE(EK4:EK33)</f>
        <v>1.1382521166033299</v>
      </c>
      <c r="EL34" s="1">
        <f t="shared" ref="EL34:EP34" si="25">AVERAGE(EL4:EL33)</f>
        <v>1.21626289028515</v>
      </c>
      <c r="EM34" s="1">
        <f t="shared" si="25"/>
        <v>1.648074368134528</v>
      </c>
      <c r="EN34" s="1">
        <f t="shared" si="25"/>
        <v>1.5865899999999999</v>
      </c>
      <c r="EO34" s="1">
        <f t="shared" si="25"/>
        <v>0.39163414099549515</v>
      </c>
      <c r="EP34" s="1" t="e">
        <f t="shared" si="25"/>
        <v>#DIV/0!</v>
      </c>
    </row>
    <row r="35" spans="6:146" x14ac:dyDescent="0.25">
      <c r="F35" t="s">
        <v>21</v>
      </c>
      <c r="G35">
        <f>MIN(G4:G33)</f>
        <v>15.435806319999999</v>
      </c>
      <c r="H35">
        <f t="shared" ref="H35:L35" si="26">MIN(H4:H33)</f>
        <v>15.5671874899825</v>
      </c>
      <c r="I35">
        <f t="shared" si="26"/>
        <v>15.566606233878799</v>
      </c>
      <c r="J35">
        <f t="shared" si="26"/>
        <v>30.173728000000001</v>
      </c>
      <c r="K35">
        <f t="shared" si="26"/>
        <v>28.8940373640798</v>
      </c>
      <c r="L35">
        <f t="shared" si="26"/>
        <v>18.518584805438898</v>
      </c>
      <c r="N35" t="s">
        <v>21</v>
      </c>
      <c r="O35">
        <f>MIN(O4:O33)</f>
        <v>4.0799047430000002</v>
      </c>
      <c r="P35">
        <f t="shared" ref="P35:T35" si="27">MIN(P4:P33)</f>
        <v>4.0656371582466102</v>
      </c>
      <c r="Q35">
        <f t="shared" si="27"/>
        <v>4.0710220730779296</v>
      </c>
      <c r="R35">
        <f t="shared" si="27"/>
        <v>4.096711</v>
      </c>
      <c r="S35">
        <f t="shared" si="27"/>
        <v>21.063915468921302</v>
      </c>
      <c r="T35">
        <f t="shared" si="27"/>
        <v>15.9364969699427</v>
      </c>
      <c r="V35" t="s">
        <v>21</v>
      </c>
      <c r="W35">
        <f>MIN(W4:W33)</f>
        <v>12.61235351</v>
      </c>
      <c r="X35">
        <f t="shared" ref="X35:AB35" si="28">MIN(X4:X33)</f>
        <v>12.600305525986601</v>
      </c>
      <c r="Y35">
        <f t="shared" si="28"/>
        <v>13.5040036794488</v>
      </c>
      <c r="Z35">
        <f t="shared" si="28"/>
        <v>23.432532999999999</v>
      </c>
      <c r="AA35">
        <f t="shared" si="28"/>
        <v>37.051267147725902</v>
      </c>
      <c r="AB35">
        <f t="shared" si="28"/>
        <v>18.916893729877099</v>
      </c>
      <c r="AJ35" t="s">
        <v>21</v>
      </c>
      <c r="AK35">
        <f>MIN(AK4:AK33)</f>
        <v>8.9538199841655999</v>
      </c>
      <c r="AL35">
        <f t="shared" ref="AL35:AP35" si="29">MIN(AL4:AL33)</f>
        <v>9.0132514830344004</v>
      </c>
      <c r="AM35">
        <f t="shared" si="29"/>
        <v>10.0256165056234</v>
      </c>
      <c r="AN35">
        <f t="shared" si="29"/>
        <v>235.21117000000001</v>
      </c>
      <c r="AO35">
        <f t="shared" si="29"/>
        <v>149.04519207644799</v>
      </c>
      <c r="AP35">
        <f t="shared" si="29"/>
        <v>19529.390074607301</v>
      </c>
      <c r="AR35" t="s">
        <v>21</v>
      </c>
      <c r="AS35">
        <f>MIN(AS4:AS33)</f>
        <v>6.6867696337227303</v>
      </c>
      <c r="AT35">
        <f t="shared" ref="AT35:AX35" si="30">MIN(AT4:AT33)</f>
        <v>6.6823457193299598</v>
      </c>
      <c r="AU35">
        <f t="shared" si="30"/>
        <v>6.7300174197469804</v>
      </c>
      <c r="AV35">
        <f t="shared" si="30"/>
        <v>6.7460420000000001</v>
      </c>
      <c r="AW35">
        <f t="shared" si="30"/>
        <v>159.33003557773301</v>
      </c>
      <c r="AX35">
        <f t="shared" si="30"/>
        <v>10293.2308003816</v>
      </c>
      <c r="AZ35" t="s">
        <v>21</v>
      </c>
      <c r="BA35">
        <f>MIN(BA4:BA33)</f>
        <v>6.3255438189512097</v>
      </c>
      <c r="BB35">
        <f t="shared" ref="BB35:BF35" si="31">MIN(BB4:BB33)</f>
        <v>6.43726515751053</v>
      </c>
      <c r="BC35">
        <f t="shared" si="31"/>
        <v>9.6900035074396609</v>
      </c>
      <c r="BD35">
        <f t="shared" si="31"/>
        <v>331.87140499999998</v>
      </c>
      <c r="BE35">
        <f t="shared" si="31"/>
        <v>101.031733540093</v>
      </c>
      <c r="BF35">
        <f t="shared" si="31"/>
        <v>19571.868173376901</v>
      </c>
      <c r="BN35" t="s">
        <v>21</v>
      </c>
      <c r="BO35">
        <f>MIN(BO4:BO33)</f>
        <v>0.81666120491654304</v>
      </c>
      <c r="BP35">
        <f t="shared" ref="BP35:BT35" si="32">MIN(BP4:BP33)</f>
        <v>0.80681745610780597</v>
      </c>
      <c r="BQ35">
        <f t="shared" si="32"/>
        <v>0.86687171887405501</v>
      </c>
      <c r="BR35">
        <f t="shared" si="32"/>
        <v>1.047682</v>
      </c>
      <c r="BS35">
        <f t="shared" si="32"/>
        <v>0.73515982517681899</v>
      </c>
      <c r="BT35">
        <f t="shared" si="32"/>
        <v>0.83538117063144102</v>
      </c>
      <c r="BV35" t="s">
        <v>21</v>
      </c>
      <c r="BW35">
        <f>MIN(BW4:BW33)</f>
        <v>0.78159401761602798</v>
      </c>
      <c r="BX35">
        <f t="shared" ref="BX35:CB35" si="33">MIN(BX4:BX33)</f>
        <v>0.78221794456308802</v>
      </c>
      <c r="BY35">
        <f t="shared" si="33"/>
        <v>0.78244043801565499</v>
      </c>
      <c r="BZ35">
        <f t="shared" si="33"/>
        <v>0.78459800000000002</v>
      </c>
      <c r="CA35">
        <f t="shared" si="33"/>
        <v>0.85588964441843196</v>
      </c>
      <c r="CB35">
        <f t="shared" si="33"/>
        <v>0.83136186633277498</v>
      </c>
      <c r="CD35" t="s">
        <v>21</v>
      </c>
      <c r="CE35">
        <f>MIN(CE4:CE33)</f>
        <v>1.0903394691682899</v>
      </c>
      <c r="CF35">
        <f t="shared" ref="CF35:CJ35" si="34">MIN(CF4:CF33)</f>
        <v>1.02925782222192</v>
      </c>
      <c r="CG35">
        <f t="shared" si="34"/>
        <v>1.5924856890533501</v>
      </c>
      <c r="CH35">
        <f t="shared" si="34"/>
        <v>2.4341870000000001</v>
      </c>
      <c r="CI35">
        <f t="shared" si="34"/>
        <v>0.83558338841833302</v>
      </c>
      <c r="CJ35">
        <f t="shared" si="34"/>
        <v>0.86029917172019099</v>
      </c>
      <c r="CQ35" t="s">
        <v>21</v>
      </c>
      <c r="CR35">
        <f>MIN(CR4:CR33)</f>
        <v>1.1857158099197801E-2</v>
      </c>
      <c r="CS35">
        <f t="shared" ref="CS35:CW35" si="35">MIN(CS4:CS33)</f>
        <v>1.2118603336288499E-2</v>
      </c>
      <c r="CT35">
        <f t="shared" si="35"/>
        <v>1.19356228503087E-2</v>
      </c>
      <c r="CU35">
        <f t="shared" si="35"/>
        <v>1.1769E-2</v>
      </c>
      <c r="CV35">
        <f t="shared" ref="CV35" si="36">MIN(CV4:CV33)</f>
        <v>1.7093391483447899E-2</v>
      </c>
      <c r="CW35">
        <f t="shared" si="35"/>
        <v>0</v>
      </c>
      <c r="CY35" t="s">
        <v>21</v>
      </c>
      <c r="CZ35">
        <f>MIN(CZ4:CZ33)</f>
        <v>3.4708155757834397E-2</v>
      </c>
      <c r="DA35">
        <f t="shared" ref="DA35:DE35" si="37">MIN(DA4:DA33)</f>
        <v>3.4873956247189197E-2</v>
      </c>
      <c r="DB35">
        <f t="shared" si="37"/>
        <v>3.47605563228627E-2</v>
      </c>
      <c r="DC35">
        <f t="shared" si="37"/>
        <v>3.4872E-2</v>
      </c>
      <c r="DD35">
        <f t="shared" si="37"/>
        <v>2.7191248998876899E-2</v>
      </c>
      <c r="DE35">
        <f t="shared" si="37"/>
        <v>0</v>
      </c>
      <c r="DG35" t="s">
        <v>21</v>
      </c>
      <c r="DH35">
        <f>MIN(DH4:DH33)</f>
        <v>1.061306557996E-3</v>
      </c>
      <c r="DI35">
        <f t="shared" ref="DI35:DM35" si="38">MIN(DI4:DI33)</f>
        <v>6.611133201079E-4</v>
      </c>
      <c r="DJ35">
        <f t="shared" si="38"/>
        <v>6.4596509174200004E-4</v>
      </c>
      <c r="DK35">
        <f t="shared" si="38"/>
        <v>1.174449E-13</v>
      </c>
      <c r="DL35">
        <f t="shared" si="38"/>
        <v>2.5763522838881101E-2</v>
      </c>
      <c r="DM35">
        <f t="shared" si="38"/>
        <v>0</v>
      </c>
      <c r="DT35" t="s">
        <v>21</v>
      </c>
      <c r="DU35">
        <f>MIN(DU4:DU33)</f>
        <v>1.1139245374266</v>
      </c>
      <c r="DV35">
        <f t="shared" ref="DV35:DZ35" si="39">MIN(DV4:DV33)</f>
        <v>1.24504658350186</v>
      </c>
      <c r="DW35">
        <f t="shared" si="39"/>
        <v>1.3414642973654001</v>
      </c>
      <c r="DX35">
        <f t="shared" si="39"/>
        <v>1.573245</v>
      </c>
      <c r="DY35">
        <f t="shared" si="39"/>
        <v>0.33547918814441902</v>
      </c>
      <c r="DZ35">
        <f t="shared" si="39"/>
        <v>0</v>
      </c>
      <c r="EB35" t="s">
        <v>21</v>
      </c>
      <c r="EC35">
        <f>MIN(EC4:EC33)</f>
        <v>2.8888074655181398E-2</v>
      </c>
      <c r="ED35">
        <f t="shared" ref="ED35:EH35" si="40">MIN(ED4:ED33)</f>
        <v>3.04415300882236E-2</v>
      </c>
      <c r="EE35">
        <f t="shared" si="40"/>
        <v>2.9563879167642401E-2</v>
      </c>
      <c r="EF35">
        <f t="shared" si="40"/>
        <v>0.81255999999999995</v>
      </c>
      <c r="EG35">
        <f t="shared" si="40"/>
        <v>0.33090592281522502</v>
      </c>
      <c r="EH35">
        <f t="shared" si="40"/>
        <v>0</v>
      </c>
      <c r="EJ35" t="s">
        <v>21</v>
      </c>
      <c r="EK35">
        <f>MIN(EK4:EK33)</f>
        <v>1.1382521166033299</v>
      </c>
      <c r="EL35">
        <f t="shared" ref="EL35:EP35" si="41">MIN(EL4:EL33)</f>
        <v>1.18974159112698</v>
      </c>
      <c r="EM35">
        <f t="shared" si="41"/>
        <v>1.6310938971553</v>
      </c>
      <c r="EN35">
        <f t="shared" si="41"/>
        <v>1.5865899999999999</v>
      </c>
      <c r="EO35">
        <f t="shared" si="41"/>
        <v>0.34517882218388202</v>
      </c>
      <c r="EP35">
        <f t="shared" si="41"/>
        <v>0</v>
      </c>
    </row>
    <row r="36" spans="6:146" x14ac:dyDescent="0.25">
      <c r="F36" t="s">
        <v>22</v>
      </c>
      <c r="G36">
        <f>MAX(G4:G33)</f>
        <v>21.77946764</v>
      </c>
      <c r="H36">
        <f t="shared" ref="H36:L36" si="42">MAX(H4:H33)</f>
        <v>22.4781155030104</v>
      </c>
      <c r="I36">
        <f t="shared" si="42"/>
        <v>34.559305305179201</v>
      </c>
      <c r="J36">
        <f t="shared" si="42"/>
        <v>30.173728000000001</v>
      </c>
      <c r="K36">
        <f t="shared" si="42"/>
        <v>36.1886275347657</v>
      </c>
      <c r="L36">
        <f t="shared" si="42"/>
        <v>56.017231647268702</v>
      </c>
      <c r="N36" t="s">
        <v>22</v>
      </c>
      <c r="O36">
        <f>MAX(O4:O33)</f>
        <v>4.0983864729999997</v>
      </c>
      <c r="P36">
        <f t="shared" ref="P36:T36" si="43">MAX(P4:P33)</f>
        <v>4.0891155672281201</v>
      </c>
      <c r="Q36">
        <f t="shared" si="43"/>
        <v>4.1058238261508304</v>
      </c>
      <c r="R36">
        <f t="shared" si="43"/>
        <v>4.096711</v>
      </c>
      <c r="S36">
        <f t="shared" si="43"/>
        <v>26.958751483981501</v>
      </c>
      <c r="T36">
        <f t="shared" si="43"/>
        <v>30.630373282548302</v>
      </c>
      <c r="V36" t="s">
        <v>22</v>
      </c>
      <c r="W36">
        <f>MAX(W4:W33)</f>
        <v>16.769939340000001</v>
      </c>
      <c r="X36">
        <f t="shared" ref="X36:AB36" si="44">MAX(X4:X33)</f>
        <v>17.359780078278799</v>
      </c>
      <c r="Y36">
        <f t="shared" si="44"/>
        <v>29.708817454426899</v>
      </c>
      <c r="Z36">
        <f t="shared" si="44"/>
        <v>23.432532999999999</v>
      </c>
      <c r="AA36">
        <f t="shared" si="44"/>
        <v>44.656697476483302</v>
      </c>
      <c r="AB36">
        <f t="shared" si="44"/>
        <v>44.887595098002599</v>
      </c>
      <c r="AJ36" t="s">
        <v>22</v>
      </c>
      <c r="AK36">
        <f>MAX(AK4:AK33)</f>
        <v>12.934992903788199</v>
      </c>
      <c r="AL36">
        <f t="shared" ref="AL36:AP36" si="45">MAX(AL4:AL33)</f>
        <v>11.8100192821167</v>
      </c>
      <c r="AM36">
        <f t="shared" si="45"/>
        <v>20.476343073230801</v>
      </c>
      <c r="AN36">
        <f t="shared" si="45"/>
        <v>235.21117000000001</v>
      </c>
      <c r="AO36">
        <f t="shared" si="45"/>
        <v>229.292562405544</v>
      </c>
      <c r="AP36">
        <f t="shared" si="45"/>
        <v>38367.894664175401</v>
      </c>
      <c r="AR36" t="s">
        <v>22</v>
      </c>
      <c r="AS36">
        <f>MAX(AS4:AS33)</f>
        <v>6.79331849625241</v>
      </c>
      <c r="AT36">
        <f t="shared" ref="AT36:AX36" si="46">MAX(AT4:AT33)</f>
        <v>6.8157279322505904</v>
      </c>
      <c r="AU36">
        <f t="shared" si="46"/>
        <v>6.7524410969091297</v>
      </c>
      <c r="AV36">
        <f t="shared" si="46"/>
        <v>6.7460420000000001</v>
      </c>
      <c r="AW36">
        <f t="shared" si="46"/>
        <v>233.50764817501101</v>
      </c>
      <c r="AX36">
        <f t="shared" si="46"/>
        <v>24965.5050882875</v>
      </c>
      <c r="AZ36" t="s">
        <v>22</v>
      </c>
      <c r="BA36">
        <f>MAX(BA4:BA33)</f>
        <v>11.274056666757</v>
      </c>
      <c r="BB36">
        <f t="shared" ref="BB36:BF36" si="47">MAX(BB4:BB33)</f>
        <v>11.2426999878384</v>
      </c>
      <c r="BC36">
        <f t="shared" si="47"/>
        <v>25.8887368028381</v>
      </c>
      <c r="BD36">
        <f t="shared" si="47"/>
        <v>331.87140499999998</v>
      </c>
      <c r="BE36">
        <f t="shared" si="47"/>
        <v>159.90776675399101</v>
      </c>
      <c r="BF36">
        <f t="shared" si="47"/>
        <v>36483.535792167997</v>
      </c>
      <c r="BN36" t="s">
        <v>22</v>
      </c>
      <c r="BO36">
        <f>MAX(BO4:BO33)</f>
        <v>1.0564400021635001</v>
      </c>
      <c r="BP36">
        <f t="shared" ref="BP36:BT36" si="48">MAX(BP4:BP33)</f>
        <v>0.86930470724498599</v>
      </c>
      <c r="BQ36">
        <f t="shared" si="48"/>
        <v>0.96043198336802105</v>
      </c>
      <c r="BR36">
        <f t="shared" si="48"/>
        <v>1.047682</v>
      </c>
      <c r="BS36">
        <f t="shared" si="48"/>
        <v>0.94140561654788901</v>
      </c>
      <c r="BT36">
        <f t="shared" si="48"/>
        <v>1.26239294334679</v>
      </c>
      <c r="BV36" t="s">
        <v>22</v>
      </c>
      <c r="BW36">
        <f>MAX(BW4:BW33)</f>
        <v>0.78626503599058095</v>
      </c>
      <c r="BX36">
        <f t="shared" ref="BX36:CB36" si="49">MAX(BX4:BX33)</f>
        <v>0.78494039962731599</v>
      </c>
      <c r="BY36">
        <f t="shared" si="49"/>
        <v>0.78542792646703297</v>
      </c>
      <c r="BZ36">
        <f t="shared" si="49"/>
        <v>0.78459800000000002</v>
      </c>
      <c r="CA36">
        <f t="shared" si="49"/>
        <v>0.94418232148620795</v>
      </c>
      <c r="CB36">
        <f t="shared" si="49"/>
        <v>0.86715949956143101</v>
      </c>
      <c r="CD36" t="s">
        <v>22</v>
      </c>
      <c r="CE36">
        <f>MAX(CE4:CE33)</f>
        <v>1.54505090704589</v>
      </c>
      <c r="CF36">
        <f t="shared" ref="CF36:CJ36" si="50">MAX(CF4:CF33)</f>
        <v>1.1132690278992099</v>
      </c>
      <c r="CG36">
        <f t="shared" si="50"/>
        <v>1.7868767344751</v>
      </c>
      <c r="CH36">
        <f t="shared" si="50"/>
        <v>2.4341870000000001</v>
      </c>
      <c r="CI36">
        <f t="shared" si="50"/>
        <v>1.0424322931066199</v>
      </c>
      <c r="CJ36">
        <f t="shared" si="50"/>
        <v>1.3095872173690399</v>
      </c>
      <c r="CQ36" t="s">
        <v>22</v>
      </c>
      <c r="CR36">
        <f>MAX(CR4:CR33)</f>
        <v>1.43159227700753E-2</v>
      </c>
      <c r="CS36">
        <f t="shared" ref="CS36:CW36" si="51">MAX(CS4:CS33)</f>
        <v>1.3065273370466699E-2</v>
      </c>
      <c r="CT36">
        <f t="shared" si="51"/>
        <v>1.2324718258687001E-2</v>
      </c>
      <c r="CU36">
        <f t="shared" si="51"/>
        <v>1.1769E-2</v>
      </c>
      <c r="CV36">
        <f t="shared" ref="CV36" si="52">MAX(CV4:CV33)</f>
        <v>5.6866820427796998E-2</v>
      </c>
      <c r="CW36">
        <f t="shared" si="51"/>
        <v>0</v>
      </c>
      <c r="CY36" t="s">
        <v>22</v>
      </c>
      <c r="CZ36">
        <f>MAX(CZ4:CZ33)</f>
        <v>3.5242252267730603E-2</v>
      </c>
      <c r="DA36">
        <f t="shared" ref="DA36:DE36" si="53">MAX(DA4:DA33)</f>
        <v>3.5045617777034001E-2</v>
      </c>
      <c r="DB36">
        <f t="shared" si="53"/>
        <v>3.4930018432368599E-2</v>
      </c>
      <c r="DC36">
        <f t="shared" si="53"/>
        <v>3.4872E-2</v>
      </c>
      <c r="DD36">
        <f t="shared" si="53"/>
        <v>4.28678237101097E-2</v>
      </c>
      <c r="DE36">
        <f t="shared" si="53"/>
        <v>0</v>
      </c>
      <c r="DG36" t="s">
        <v>22</v>
      </c>
      <c r="DH36">
        <f>MAX(DH4:DH33)</f>
        <v>3.1702477588919E-3</v>
      </c>
      <c r="DI36">
        <f t="shared" ref="DI36:DM36" si="54">MAX(DI4:DI33)</f>
        <v>1.8682857891837001E-3</v>
      </c>
      <c r="DJ36">
        <f t="shared" si="54"/>
        <v>1.0421887981010001E-3</v>
      </c>
      <c r="DK36">
        <f t="shared" si="54"/>
        <v>1.174449E-13</v>
      </c>
      <c r="DL36">
        <f t="shared" si="54"/>
        <v>5.6539264620979399E-2</v>
      </c>
      <c r="DM36">
        <f t="shared" si="54"/>
        <v>0</v>
      </c>
      <c r="DT36" t="s">
        <v>22</v>
      </c>
      <c r="DU36">
        <f>MAX(DU4:DU33)</f>
        <v>1.1139245374266</v>
      </c>
      <c r="DV36">
        <f t="shared" ref="DV36:DZ36" si="55">MAX(DV4:DV33)</f>
        <v>1.2618326084473801</v>
      </c>
      <c r="DW36">
        <f t="shared" si="55"/>
        <v>1.3802124558622</v>
      </c>
      <c r="DX36">
        <f t="shared" si="55"/>
        <v>1.573245</v>
      </c>
      <c r="DY36">
        <f t="shared" si="55"/>
        <v>0.46241289180187201</v>
      </c>
      <c r="DZ36">
        <f t="shared" si="55"/>
        <v>0</v>
      </c>
      <c r="EB36" t="s">
        <v>22</v>
      </c>
      <c r="EC36">
        <f>MAX(EC4:EC33)</f>
        <v>2.8888074655181398E-2</v>
      </c>
      <c r="ED36">
        <f t="shared" ref="ED36:EH36" si="56">MAX(ED4:ED33)</f>
        <v>3.1257820387462401E-2</v>
      </c>
      <c r="EE36">
        <f t="shared" si="56"/>
        <v>3.1439777840767E-2</v>
      </c>
      <c r="EF36">
        <f t="shared" si="56"/>
        <v>0.81255999999999995</v>
      </c>
      <c r="EG36">
        <f t="shared" si="56"/>
        <v>0.36951067743104798</v>
      </c>
      <c r="EH36">
        <f t="shared" si="56"/>
        <v>0</v>
      </c>
      <c r="EJ36" t="s">
        <v>22</v>
      </c>
      <c r="EK36">
        <f>MAX(EK4:EK33)</f>
        <v>1.1382521166033299</v>
      </c>
      <c r="EL36">
        <f t="shared" ref="EL36:EP36" si="57">MAX(EL4:EL33)</f>
        <v>1.23142877567664</v>
      </c>
      <c r="EM36">
        <f t="shared" si="57"/>
        <v>1.6680145061292899</v>
      </c>
      <c r="EN36">
        <f t="shared" si="57"/>
        <v>1.5865899999999999</v>
      </c>
      <c r="EO36">
        <f t="shared" si="57"/>
        <v>0.44382930781386698</v>
      </c>
      <c r="EP36">
        <f t="shared" si="57"/>
        <v>0</v>
      </c>
    </row>
    <row r="37" spans="6:146" x14ac:dyDescent="0.25">
      <c r="F37" s="1" t="s">
        <v>27</v>
      </c>
      <c r="G37">
        <f>VAR(G4:G33)</f>
        <v>2.2331469928954277</v>
      </c>
      <c r="H37">
        <f t="shared" ref="H37:L37" si="58">VAR(H4:H33)</f>
        <v>3.0035360732169836</v>
      </c>
      <c r="I37">
        <f t="shared" si="58"/>
        <v>29.450972094163543</v>
      </c>
      <c r="J37" t="e">
        <f t="shared" si="58"/>
        <v>#DIV/0!</v>
      </c>
      <c r="K37">
        <f t="shared" si="58"/>
        <v>3.4594944330691346</v>
      </c>
      <c r="L37">
        <f t="shared" si="58"/>
        <v>89.810285458127098</v>
      </c>
      <c r="N37" s="1" t="s">
        <v>27</v>
      </c>
      <c r="O37">
        <f>VAR(O4:O33)</f>
        <v>1.9434521803561332E-5</v>
      </c>
      <c r="P37">
        <f t="shared" ref="P37:T37" si="59">VAR(P4:P33)</f>
        <v>3.4468513258660124E-5</v>
      </c>
      <c r="Q37">
        <f t="shared" si="59"/>
        <v>6.6596626999229402E-5</v>
      </c>
      <c r="R37" t="e">
        <f t="shared" si="59"/>
        <v>#DIV/0!</v>
      </c>
      <c r="S37">
        <f t="shared" si="59"/>
        <v>0.96185814683946991</v>
      </c>
      <c r="T37">
        <f t="shared" si="59"/>
        <v>12.39216642468555</v>
      </c>
      <c r="V37" s="1" t="s">
        <v>27</v>
      </c>
      <c r="W37">
        <f>VAR(W4:W33)</f>
        <v>1.1341615796138353</v>
      </c>
      <c r="X37">
        <f t="shared" ref="X37:AB37" si="60">VAR(X4:X33)</f>
        <v>1.5510313362760526</v>
      </c>
      <c r="Y37">
        <f t="shared" si="60"/>
        <v>20.942445493823723</v>
      </c>
      <c r="Z37" t="e">
        <f t="shared" si="60"/>
        <v>#DIV/0!</v>
      </c>
      <c r="AA37">
        <f t="shared" si="60"/>
        <v>3.6271658032612226</v>
      </c>
      <c r="AB37">
        <f t="shared" si="60"/>
        <v>52.26962688201958</v>
      </c>
      <c r="AJ37" s="1" t="s">
        <v>27</v>
      </c>
      <c r="AK37">
        <f>VAR(AK4:AK33)</f>
        <v>0.93180204589422089</v>
      </c>
      <c r="AL37">
        <f t="shared" ref="AL37:AP37" si="61">VAR(AL4:AL33)</f>
        <v>0.41400128879059633</v>
      </c>
      <c r="AM37">
        <f t="shared" si="61"/>
        <v>4.9473432066693492</v>
      </c>
      <c r="AN37" t="e">
        <f t="shared" si="61"/>
        <v>#DIV/0!</v>
      </c>
      <c r="AO37">
        <f t="shared" si="61"/>
        <v>315.62253861189163</v>
      </c>
      <c r="AP37">
        <f t="shared" si="61"/>
        <v>24273032.052828033</v>
      </c>
      <c r="AR37" s="1" t="s">
        <v>27</v>
      </c>
      <c r="AS37">
        <f>VAR(AS4:AS33)</f>
        <v>5.7343393490413028E-4</v>
      </c>
      <c r="AT37">
        <f t="shared" ref="AT37:AX37" si="62">VAR(AT4:AT33)</f>
        <v>1.1783124528326602E-3</v>
      </c>
      <c r="AU37">
        <f t="shared" si="62"/>
        <v>3.3374655024157177E-5</v>
      </c>
      <c r="AV37" t="e">
        <f t="shared" si="62"/>
        <v>#DIV/0!</v>
      </c>
      <c r="AW37">
        <f t="shared" si="62"/>
        <v>278.89560345045516</v>
      </c>
      <c r="AX37">
        <f t="shared" si="62"/>
        <v>11487912.893834805</v>
      </c>
      <c r="AZ37" s="1" t="s">
        <v>27</v>
      </c>
      <c r="BA37">
        <f>VAR(BA4:BA33)</f>
        <v>1.5504113984473735</v>
      </c>
      <c r="BB37">
        <f t="shared" ref="BB37:BF37" si="63">VAR(BB4:BB33)</f>
        <v>0.92351411782480897</v>
      </c>
      <c r="BC37">
        <f t="shared" si="63"/>
        <v>13.991572438621539</v>
      </c>
      <c r="BD37" t="e">
        <f t="shared" si="63"/>
        <v>#DIV/0!</v>
      </c>
      <c r="BE37">
        <f t="shared" si="63"/>
        <v>148.81551986488972</v>
      </c>
      <c r="BF37">
        <f t="shared" si="63"/>
        <v>14863484.945616098</v>
      </c>
      <c r="BN37" s="1" t="s">
        <v>27</v>
      </c>
      <c r="BO37">
        <f>VAR(BO4:BO33)</f>
        <v>2.8297202690849934E-3</v>
      </c>
      <c r="BP37">
        <f t="shared" ref="BP37:BT37" si="64">VAR(BP4:BP33)</f>
        <v>2.8389684419547314E-4</v>
      </c>
      <c r="BQ37">
        <f t="shared" si="64"/>
        <v>4.8868292736771511E-4</v>
      </c>
      <c r="BR37" t="e">
        <f t="shared" si="64"/>
        <v>#DIV/0!</v>
      </c>
      <c r="BS37">
        <f t="shared" si="64"/>
        <v>2.6036810597792727E-3</v>
      </c>
      <c r="BT37">
        <f t="shared" si="64"/>
        <v>1.2527334158199932E-2</v>
      </c>
      <c r="BV37" s="1" t="s">
        <v>27</v>
      </c>
      <c r="BW37">
        <f>VAR(BW4:BW33)</f>
        <v>1.0875469142890761E-6</v>
      </c>
      <c r="BX37">
        <f t="shared" ref="BX37:CB37" si="65">VAR(BX4:BX33)</f>
        <v>4.6044181744262981E-7</v>
      </c>
      <c r="BY37">
        <f t="shared" si="65"/>
        <v>5.0654137115073203E-7</v>
      </c>
      <c r="BZ37" t="e">
        <f t="shared" si="65"/>
        <v>#DIV/0!</v>
      </c>
      <c r="CA37">
        <f t="shared" si="65"/>
        <v>4.3661312388178816E-4</v>
      </c>
      <c r="CB37">
        <f t="shared" si="65"/>
        <v>7.0029351769797308E-5</v>
      </c>
      <c r="CD37" s="1" t="s">
        <v>27</v>
      </c>
      <c r="CE37">
        <f>VAR(CE4:CE33)</f>
        <v>8.384398658073975E-3</v>
      </c>
      <c r="CF37">
        <f t="shared" ref="CF37:CJ37" si="66">VAR(CF4:CF33)</f>
        <v>4.1543590281484163E-4</v>
      </c>
      <c r="CG37">
        <f t="shared" si="66"/>
        <v>2.218383130798523E-3</v>
      </c>
      <c r="CH37" t="e">
        <f t="shared" si="66"/>
        <v>#DIV/0!</v>
      </c>
      <c r="CI37">
        <f t="shared" si="66"/>
        <v>3.0172050999901241E-3</v>
      </c>
      <c r="CJ37">
        <f t="shared" si="66"/>
        <v>1.144476301654225E-2</v>
      </c>
      <c r="CR37">
        <f>VAR(CR4:CR33)</f>
        <v>3.7606926894968852E-7</v>
      </c>
      <c r="CS37">
        <f t="shared" ref="CS37:CW37" si="67">VAR(CS4:CS33)</f>
        <v>5.7311735467916844E-8</v>
      </c>
      <c r="CT37">
        <f t="shared" si="67"/>
        <v>1.1914979643558101E-8</v>
      </c>
      <c r="CU37" t="e">
        <f t="shared" si="67"/>
        <v>#DIV/0!</v>
      </c>
      <c r="CV37">
        <f t="shared" ref="CV37" si="68">VAR(CV4:CV33)</f>
        <v>6.1934956856283464E-5</v>
      </c>
      <c r="CW37" t="e">
        <f t="shared" si="67"/>
        <v>#DIV/0!</v>
      </c>
      <c r="CZ37">
        <f>VAR(CZ4:CZ33)</f>
        <v>1.1272974686406461E-8</v>
      </c>
      <c r="DA37">
        <f t="shared" ref="DA37:DE37" si="69">VAR(DA4:DA33)</f>
        <v>1.8575140437723768E-9</v>
      </c>
      <c r="DB37">
        <f t="shared" si="69"/>
        <v>1.2490908685352538E-9</v>
      </c>
      <c r="DC37" t="e">
        <f t="shared" si="69"/>
        <v>#DIV/0!</v>
      </c>
      <c r="DD37">
        <f t="shared" si="69"/>
        <v>9.9240897673204235E-6</v>
      </c>
      <c r="DE37" t="e">
        <f t="shared" si="69"/>
        <v>#DIV/0!</v>
      </c>
      <c r="DH37">
        <f>VAR(DH4:DH33)</f>
        <v>3.6586435227720289E-7</v>
      </c>
      <c r="DI37">
        <f t="shared" ref="DI37:DM37" si="70">VAR(DI4:DI33)</f>
        <v>8.7075858178039224E-8</v>
      </c>
      <c r="DJ37">
        <f t="shared" si="70"/>
        <v>1.0092681968263811E-8</v>
      </c>
      <c r="DK37" t="e">
        <f t="shared" si="70"/>
        <v>#DIV/0!</v>
      </c>
      <c r="DL37">
        <f t="shared" si="70"/>
        <v>3.2870795251434809E-5</v>
      </c>
      <c r="DM37" t="e">
        <f t="shared" si="70"/>
        <v>#DIV/0!</v>
      </c>
      <c r="DU37" t="e">
        <f>VAR(DU4:DU33)</f>
        <v>#DIV/0!</v>
      </c>
      <c r="DV37">
        <f t="shared" ref="DV37:DZ37" si="71">VAR(DV4:DV33)</f>
        <v>8.271990258767526E-5</v>
      </c>
      <c r="DW37">
        <f t="shared" si="71"/>
        <v>2.1464586926606808E-4</v>
      </c>
      <c r="DX37" t="e">
        <f t="shared" si="71"/>
        <v>#DIV/0!</v>
      </c>
      <c r="DY37">
        <f t="shared" si="71"/>
        <v>8.9449683468192291E-4</v>
      </c>
      <c r="DZ37" t="e">
        <f t="shared" si="71"/>
        <v>#DIV/0!</v>
      </c>
      <c r="EC37" t="e">
        <f>VAR(EC4:EC33)</f>
        <v>#DIV/0!</v>
      </c>
      <c r="ED37">
        <f t="shared" ref="ED37:EH37" si="72">VAR(ED4:ED33)</f>
        <v>1.6677981045178658E-7</v>
      </c>
      <c r="EE37">
        <f t="shared" si="72"/>
        <v>7.4348212284755557E-7</v>
      </c>
      <c r="EF37" t="e">
        <f t="shared" si="72"/>
        <v>#DIV/0!</v>
      </c>
      <c r="EG37">
        <f t="shared" si="72"/>
        <v>1.2702056441388508E-4</v>
      </c>
      <c r="EH37" t="e">
        <f t="shared" si="72"/>
        <v>#DIV/0!</v>
      </c>
      <c r="EK37" t="e">
        <f>VAR(EK4:EK33)</f>
        <v>#DIV/0!</v>
      </c>
      <c r="EL37">
        <f t="shared" ref="EL37:EP37" si="73">VAR(EL4:EL33)</f>
        <v>5.311644052787333E-4</v>
      </c>
      <c r="EM37">
        <f t="shared" si="73"/>
        <v>1.9072753583759846E-4</v>
      </c>
      <c r="EN37" t="e">
        <f t="shared" si="73"/>
        <v>#DIV/0!</v>
      </c>
      <c r="EO37">
        <f t="shared" si="73"/>
        <v>5.6868735788474355E-4</v>
      </c>
      <c r="EP37" t="e">
        <f t="shared" si="73"/>
        <v>#DIV/0!</v>
      </c>
    </row>
    <row r="39" spans="6:146" x14ac:dyDescent="0.25">
      <c r="AJ39" s="1"/>
      <c r="AK39" s="1"/>
      <c r="AL39" s="1"/>
      <c r="AM39" s="1"/>
      <c r="AN39" s="1"/>
      <c r="AQ39" s="1"/>
      <c r="AR39" s="1"/>
      <c r="AS39" s="1"/>
      <c r="AT39" s="1"/>
      <c r="AU39" s="1"/>
      <c r="AV39" s="1"/>
      <c r="AY39" s="1"/>
      <c r="AZ39" s="1"/>
      <c r="BA39" s="1"/>
      <c r="BB39" s="1"/>
      <c r="BC39" s="1"/>
      <c r="BD39" s="1"/>
      <c r="BN39" s="1"/>
      <c r="BO39" s="1"/>
      <c r="BP39" s="1"/>
      <c r="BQ39" s="1"/>
      <c r="BR39" s="1"/>
      <c r="BU39" s="1"/>
      <c r="BV39" s="1"/>
      <c r="BW39" s="1"/>
      <c r="BX39" s="1"/>
      <c r="BY39" s="1"/>
      <c r="BZ39" s="1"/>
      <c r="CC39" s="1"/>
      <c r="CD39" s="1"/>
      <c r="CE39" s="1"/>
      <c r="CF39" s="1"/>
      <c r="CG39" s="1"/>
      <c r="CH39" s="1"/>
    </row>
    <row r="40" spans="6:146" x14ac:dyDescent="0.25">
      <c r="AJ40" s="1"/>
      <c r="AK40" s="1"/>
      <c r="AL40" s="1"/>
      <c r="AM40" s="1"/>
      <c r="AN40" s="1"/>
      <c r="AQ40" s="1"/>
      <c r="AR40" s="1"/>
      <c r="AS40" s="1"/>
      <c r="AT40" s="1"/>
      <c r="AU40" s="1"/>
      <c r="AV40" s="1"/>
      <c r="AY40" s="1"/>
      <c r="AZ40" s="1"/>
      <c r="BA40" s="1"/>
      <c r="BB40" s="1"/>
      <c r="BC40" s="1"/>
      <c r="BD40" s="1"/>
      <c r="BN40" s="1"/>
      <c r="BO40" s="1"/>
      <c r="BP40" s="1"/>
      <c r="BQ40" s="1"/>
      <c r="BR40" s="1"/>
      <c r="BU40" s="1"/>
      <c r="BV40" s="1"/>
      <c r="BW40" s="1"/>
      <c r="BX40" s="1"/>
      <c r="BY40" s="1"/>
      <c r="BZ40" s="1"/>
      <c r="CC40" s="1"/>
      <c r="CD40" s="1"/>
      <c r="CE40" s="1"/>
      <c r="CF40" s="1"/>
      <c r="CG40" s="1"/>
      <c r="CH40" s="1"/>
    </row>
    <row r="41" spans="6:146" x14ac:dyDescent="0.25">
      <c r="AJ41" s="1"/>
      <c r="AK41" s="2"/>
      <c r="AL41" s="2"/>
      <c r="AM41" s="2"/>
      <c r="AQ41" s="1"/>
      <c r="AR41" s="1"/>
      <c r="AS41" s="2"/>
      <c r="AT41" s="2"/>
      <c r="AU41" s="2"/>
      <c r="AY41" s="1"/>
      <c r="AZ41" s="1"/>
      <c r="BA41" s="2"/>
      <c r="BB41" s="2"/>
      <c r="BC41" s="2"/>
      <c r="BN41" s="1"/>
      <c r="BO41" s="2"/>
      <c r="BP41" s="1"/>
      <c r="BQ41" s="2"/>
      <c r="BU41" s="1"/>
      <c r="BV41" s="1"/>
      <c r="BW41" s="2"/>
      <c r="BX41" s="1"/>
      <c r="BY41" s="2"/>
      <c r="BZ41" s="4"/>
      <c r="CC41" s="1"/>
      <c r="CD41" s="1"/>
      <c r="CE41" s="2"/>
      <c r="CF41" s="1"/>
      <c r="CG41" s="2"/>
    </row>
    <row r="42" spans="6:146" x14ac:dyDescent="0.25">
      <c r="F42" s="2">
        <v>31</v>
      </c>
      <c r="G42" s="2">
        <v>25.004871659999999</v>
      </c>
      <c r="I42" s="2"/>
      <c r="O42" s="2">
        <v>4.0958780700000004</v>
      </c>
      <c r="Q42" s="2"/>
      <c r="W42" s="2">
        <v>19.771493979999999</v>
      </c>
      <c r="Y42" s="2"/>
      <c r="AJ42" s="1"/>
      <c r="AK42" s="2"/>
      <c r="AL42" s="2"/>
      <c r="AM42" s="2"/>
      <c r="AQ42" s="1"/>
      <c r="AR42" s="1"/>
      <c r="AS42" s="2"/>
      <c r="AT42" s="2"/>
      <c r="AU42" s="2"/>
      <c r="AY42" s="1"/>
      <c r="AZ42" s="1"/>
      <c r="BA42" s="2"/>
      <c r="BB42" s="2"/>
      <c r="BC42" s="2"/>
      <c r="BN42" s="1"/>
      <c r="BO42" s="2"/>
      <c r="BP42" s="1"/>
      <c r="BQ42" s="2"/>
      <c r="BU42" s="1"/>
      <c r="BV42" s="1"/>
      <c r="BW42" s="2"/>
      <c r="BX42" s="1"/>
      <c r="BY42" s="2"/>
      <c r="BZ42" s="4"/>
      <c r="CC42" s="1"/>
      <c r="CD42" s="1"/>
      <c r="CE42" s="2"/>
      <c r="CF42" s="1"/>
      <c r="CG42" s="2"/>
    </row>
    <row r="43" spans="6:146" x14ac:dyDescent="0.25">
      <c r="F43" s="2">
        <v>32</v>
      </c>
      <c r="G43" s="2">
        <v>23.887341339999999</v>
      </c>
      <c r="I43" s="2"/>
      <c r="J43" s="3"/>
      <c r="K43" s="3"/>
      <c r="L43" s="3"/>
      <c r="O43" s="2">
        <v>4.0903341710000003</v>
      </c>
      <c r="Q43" s="2"/>
      <c r="S43" s="3"/>
      <c r="T43" s="3"/>
      <c r="W43" s="2">
        <v>19.149300669999999</v>
      </c>
      <c r="Y43" s="2"/>
      <c r="AA43" s="3"/>
      <c r="AB43" s="3"/>
      <c r="AJ43" s="1"/>
      <c r="AK43" s="2"/>
      <c r="AL43" s="2"/>
      <c r="AM43" s="2"/>
      <c r="AO43" s="3"/>
      <c r="AP43" s="3"/>
      <c r="AQ43" s="1"/>
      <c r="AR43" s="1"/>
      <c r="AS43" s="2"/>
      <c r="AT43" s="2"/>
      <c r="AU43" s="2"/>
      <c r="AW43" s="3"/>
      <c r="AX43" s="3"/>
      <c r="AY43" s="1"/>
      <c r="AZ43" s="1"/>
      <c r="BA43" s="2"/>
      <c r="BB43" s="2"/>
      <c r="BC43" s="2"/>
      <c r="BE43" s="3"/>
      <c r="BF43" s="3"/>
      <c r="BN43" s="1"/>
      <c r="BO43" s="2"/>
      <c r="BP43" s="1"/>
      <c r="BQ43" s="2"/>
      <c r="BS43" s="3"/>
      <c r="BT43" s="3"/>
      <c r="BU43" s="1"/>
      <c r="BV43" s="1"/>
      <c r="BW43" s="2"/>
      <c r="BX43" s="1"/>
      <c r="BY43" s="2"/>
      <c r="BZ43" s="4"/>
      <c r="CA43" s="3"/>
      <c r="CB43" s="3"/>
      <c r="CC43" s="1"/>
      <c r="CD43" s="1"/>
      <c r="CE43" s="2"/>
      <c r="CF43" s="1"/>
      <c r="CG43" s="2"/>
      <c r="CI43" s="3"/>
    </row>
    <row r="44" spans="6:146" x14ac:dyDescent="0.25">
      <c r="F44" s="2">
        <v>33</v>
      </c>
      <c r="G44" s="2">
        <v>20.307468960000001</v>
      </c>
      <c r="I44" s="2"/>
      <c r="J44" s="3"/>
      <c r="K44" s="3"/>
      <c r="L44" s="3"/>
      <c r="M44" s="3"/>
      <c r="O44" s="2">
        <v>4.0927334030000004</v>
      </c>
      <c r="Q44" s="2"/>
      <c r="S44" s="3"/>
      <c r="T44" s="3"/>
      <c r="W44" s="2">
        <v>15.66165657</v>
      </c>
      <c r="Y44" s="2"/>
      <c r="AA44" s="3"/>
      <c r="AB44" s="3"/>
      <c r="AJ44" s="1"/>
      <c r="AK44" s="2"/>
      <c r="AL44" s="2"/>
      <c r="AM44" s="2"/>
      <c r="AO44" s="3"/>
      <c r="AP44" s="3"/>
      <c r="AQ44" s="1"/>
      <c r="AR44" s="1"/>
      <c r="AS44" s="2"/>
      <c r="AT44" s="2"/>
      <c r="AU44" s="2"/>
      <c r="AW44" s="3"/>
      <c r="AX44" s="3"/>
      <c r="AY44" s="1"/>
      <c r="AZ44" s="1"/>
      <c r="BA44" s="2"/>
      <c r="BB44" s="2"/>
      <c r="BC44" s="2"/>
      <c r="BE44" s="3"/>
      <c r="BF44" s="3"/>
      <c r="BN44" s="1"/>
      <c r="BO44" s="2"/>
      <c r="BP44" s="1"/>
      <c r="BQ44" s="2"/>
      <c r="BS44" s="3"/>
      <c r="BT44" s="3"/>
      <c r="BU44" s="1"/>
      <c r="BV44" s="1"/>
      <c r="BW44" s="2"/>
      <c r="BX44" s="1"/>
      <c r="BY44" s="2"/>
      <c r="BZ44" s="4"/>
      <c r="CA44" s="3"/>
      <c r="CB44" s="3"/>
      <c r="CC44" s="1"/>
      <c r="CD44" s="1"/>
      <c r="CE44" s="2"/>
      <c r="CF44" s="1"/>
      <c r="CG44" s="2"/>
      <c r="CI44" s="3"/>
    </row>
    <row r="45" spans="6:146" x14ac:dyDescent="0.25">
      <c r="F45" s="2">
        <v>34</v>
      </c>
      <c r="G45" s="2">
        <v>23.421546330000002</v>
      </c>
      <c r="I45" s="2"/>
      <c r="O45" s="2">
        <v>4.0864460579999999</v>
      </c>
      <c r="Q45" s="2"/>
      <c r="W45" s="2">
        <v>18.291988</v>
      </c>
      <c r="Y45" s="2"/>
      <c r="AJ45" s="1"/>
      <c r="AK45" s="2"/>
      <c r="AL45" s="2"/>
      <c r="AM45" s="2"/>
      <c r="AQ45" s="1"/>
      <c r="AR45" s="1"/>
      <c r="AS45" s="2"/>
      <c r="AT45" s="2"/>
      <c r="AU45" s="2"/>
      <c r="AY45" s="1"/>
      <c r="AZ45" s="1"/>
      <c r="BA45" s="2"/>
      <c r="BB45" s="2"/>
      <c r="BC45" s="2"/>
      <c r="BN45" s="1"/>
      <c r="BO45" s="2"/>
      <c r="BP45" s="1"/>
      <c r="BQ45" s="2"/>
      <c r="BU45" s="1"/>
      <c r="BV45" s="1"/>
      <c r="BW45" s="2"/>
      <c r="BX45" s="1"/>
      <c r="BY45" s="2"/>
      <c r="BZ45" s="4"/>
      <c r="CC45" s="1"/>
      <c r="CD45" s="1"/>
      <c r="CE45" s="2"/>
      <c r="CF45" s="1"/>
      <c r="CG45" s="2"/>
    </row>
    <row r="46" spans="6:146" x14ac:dyDescent="0.25">
      <c r="F46" s="2">
        <v>35</v>
      </c>
      <c r="G46" s="2">
        <v>22.66476364</v>
      </c>
      <c r="H46" s="2"/>
      <c r="I46" s="2"/>
      <c r="O46" s="2">
        <v>4.0803067229999996</v>
      </c>
      <c r="P46" s="2"/>
      <c r="Q46" s="2"/>
      <c r="W46" s="2">
        <v>18.16067133</v>
      </c>
      <c r="X46" s="2"/>
      <c r="Y46" s="2"/>
      <c r="AJ46" s="1"/>
      <c r="AK46" s="2"/>
      <c r="AL46" s="2"/>
      <c r="AM46" s="2"/>
      <c r="AR46" s="1"/>
      <c r="AS46" s="2"/>
      <c r="AT46" s="2"/>
      <c r="AU46" s="2"/>
      <c r="AZ46" s="1"/>
      <c r="BA46" s="2"/>
      <c r="BB46" s="2"/>
      <c r="BC46" s="2"/>
      <c r="BN46" s="1"/>
      <c r="BO46" s="2"/>
      <c r="BQ46" s="2"/>
      <c r="BV46" s="1"/>
      <c r="BW46" s="2"/>
      <c r="BY46" s="2"/>
      <c r="BZ46" s="4"/>
      <c r="CD46" s="1"/>
      <c r="CE46" s="2"/>
      <c r="CG46" s="2"/>
    </row>
    <row r="47" spans="6:146" x14ac:dyDescent="0.25">
      <c r="F47" s="2">
        <v>36</v>
      </c>
      <c r="I47" s="2"/>
      <c r="Q47" s="2"/>
      <c r="Y47" s="2"/>
      <c r="AE47" s="1"/>
      <c r="AF47" s="1"/>
      <c r="AJ47" s="1"/>
      <c r="AK47" s="2"/>
      <c r="AL47" s="2"/>
      <c r="AM47" s="2"/>
      <c r="AR47" s="1"/>
      <c r="AS47" s="2"/>
      <c r="AT47" s="2"/>
      <c r="AU47" s="2"/>
      <c r="AZ47" s="1"/>
      <c r="BA47" s="2"/>
      <c r="BB47" s="2"/>
      <c r="BC47" s="2"/>
      <c r="BI47" s="1"/>
      <c r="BJ47" s="1"/>
      <c r="BN47" s="1"/>
      <c r="BO47" s="2"/>
      <c r="BQ47" s="2"/>
      <c r="BV47" s="1"/>
      <c r="BW47" s="2"/>
      <c r="BY47" s="2"/>
      <c r="BZ47" s="4"/>
      <c r="CD47" s="1"/>
      <c r="CE47" s="2"/>
      <c r="CG47" s="2"/>
    </row>
    <row r="48" spans="6:146" x14ac:dyDescent="0.25">
      <c r="F48" s="2">
        <v>37</v>
      </c>
      <c r="I48" s="2"/>
      <c r="Q48" s="2"/>
      <c r="Y48" s="2"/>
      <c r="AE48" s="1"/>
      <c r="AF48" s="1"/>
      <c r="AJ48" s="1"/>
      <c r="AK48" s="2"/>
      <c r="AL48" s="2"/>
      <c r="AM48" s="2"/>
      <c r="AR48" s="1"/>
      <c r="AS48" s="2"/>
      <c r="AT48" s="2"/>
      <c r="AU48" s="2"/>
      <c r="AZ48" s="1"/>
      <c r="BA48" s="2"/>
      <c r="BB48" s="2"/>
      <c r="BC48" s="2"/>
      <c r="BI48" s="1"/>
      <c r="BJ48" s="1"/>
      <c r="BN48" s="1"/>
      <c r="BO48" s="2"/>
      <c r="BQ48" s="2"/>
      <c r="BV48" s="1"/>
      <c r="BW48" s="2"/>
      <c r="BY48" s="2"/>
      <c r="BZ48" s="4"/>
      <c r="CD48" s="1"/>
      <c r="CE48" s="2"/>
      <c r="CG48" s="2"/>
    </row>
    <row r="49" spans="6:85" x14ac:dyDescent="0.25">
      <c r="F49" s="2">
        <v>38</v>
      </c>
      <c r="I49" s="2"/>
      <c r="Q49" s="2"/>
      <c r="Y49" s="2"/>
      <c r="AJ49" s="1"/>
      <c r="AK49" s="2"/>
      <c r="AL49" s="2"/>
      <c r="AM49" s="2"/>
      <c r="AR49" s="1"/>
      <c r="AS49" s="2"/>
      <c r="AT49" s="2"/>
      <c r="AU49" s="2"/>
      <c r="AZ49" s="1"/>
      <c r="BA49" s="2"/>
      <c r="BB49" s="2"/>
      <c r="BC49" s="2"/>
      <c r="BN49" s="1"/>
      <c r="BO49" s="2"/>
      <c r="BQ49" s="2"/>
      <c r="BV49" s="1"/>
      <c r="BW49" s="2"/>
      <c r="BY49" s="2"/>
      <c r="BZ49" s="4"/>
      <c r="CD49" s="1"/>
      <c r="CE49" s="2"/>
      <c r="CG49" s="2"/>
    </row>
    <row r="50" spans="6:85" x14ac:dyDescent="0.25">
      <c r="F50" s="2">
        <v>39</v>
      </c>
      <c r="I50" s="2"/>
      <c r="Q50" s="2"/>
      <c r="Y50" s="2"/>
      <c r="AJ50" s="1"/>
      <c r="AK50" s="2"/>
      <c r="AL50" s="2"/>
      <c r="AM50" s="2"/>
      <c r="AR50" s="1"/>
      <c r="AS50" s="2"/>
      <c r="AT50" s="2"/>
      <c r="AU50" s="2"/>
      <c r="AZ50" s="1"/>
      <c r="BA50" s="2"/>
      <c r="BB50" s="2"/>
      <c r="BC50" s="2"/>
      <c r="BN50" s="1"/>
      <c r="BO50" s="2"/>
      <c r="BQ50" s="2"/>
      <c r="BV50" s="1"/>
      <c r="BW50" s="2"/>
      <c r="BY50" s="2"/>
      <c r="BZ50" s="4"/>
      <c r="CD50" s="1"/>
      <c r="CE50" s="2"/>
      <c r="CG50" s="2"/>
    </row>
    <row r="51" spans="6:85" x14ac:dyDescent="0.25">
      <c r="F51" s="2">
        <v>40</v>
      </c>
      <c r="I51" s="2"/>
      <c r="Q51" s="2"/>
      <c r="Y51" s="2"/>
      <c r="AJ51" s="1"/>
      <c r="AK51" s="2"/>
      <c r="AL51" s="2"/>
      <c r="AM51" s="2"/>
      <c r="AR51" s="1"/>
      <c r="AS51" s="2"/>
      <c r="AT51" s="2"/>
      <c r="AU51" s="2"/>
      <c r="AZ51" s="1"/>
      <c r="BA51" s="2"/>
      <c r="BB51" s="2"/>
      <c r="BC51" s="2"/>
      <c r="BN51" s="1"/>
      <c r="BO51" s="2"/>
      <c r="BQ51" s="2"/>
      <c r="BV51" s="1"/>
      <c r="BW51" s="2"/>
      <c r="BY51" s="2"/>
      <c r="BZ51" s="4"/>
      <c r="CD51" s="1"/>
      <c r="CE51" s="2"/>
      <c r="CG51" s="2"/>
    </row>
    <row r="52" spans="6:85" x14ac:dyDescent="0.25">
      <c r="F52" s="2">
        <v>41</v>
      </c>
      <c r="I52" s="2"/>
      <c r="Q52" s="2"/>
      <c r="Y52" s="2"/>
      <c r="AJ52" s="1"/>
      <c r="AK52" s="2"/>
      <c r="AL52" s="2"/>
      <c r="AM52" s="2"/>
      <c r="AR52" s="1"/>
      <c r="AS52" s="2"/>
      <c r="AT52" s="2"/>
      <c r="AU52" s="2"/>
      <c r="AZ52" s="1"/>
      <c r="BA52" s="2"/>
      <c r="BB52" s="2"/>
      <c r="BC52" s="2"/>
      <c r="BN52" s="1"/>
      <c r="BO52" s="2"/>
      <c r="BQ52" s="2"/>
      <c r="BV52" s="1"/>
      <c r="BW52" s="2"/>
      <c r="BY52" s="2"/>
      <c r="BZ52" s="4"/>
      <c r="CD52" s="1"/>
      <c r="CE52" s="2"/>
      <c r="CG52" s="2"/>
    </row>
    <row r="53" spans="6:85" x14ac:dyDescent="0.25">
      <c r="AJ53" s="1"/>
      <c r="AK53" s="2"/>
      <c r="AL53" s="2"/>
      <c r="AM53" s="2"/>
      <c r="AR53" s="1"/>
      <c r="AS53" s="2"/>
      <c r="AT53" s="2"/>
      <c r="AU53" s="2"/>
      <c r="AZ53" s="1"/>
      <c r="BA53" s="2"/>
      <c r="BB53" s="2"/>
      <c r="BC53" s="2"/>
      <c r="BN53" s="1"/>
      <c r="BO53" s="2"/>
      <c r="BQ53" s="2"/>
      <c r="BV53" s="1"/>
      <c r="BW53" s="2"/>
      <c r="BY53" s="2"/>
      <c r="BZ53" s="4"/>
      <c r="CD53" s="1"/>
      <c r="CE53" s="2"/>
      <c r="CG53" s="2"/>
    </row>
    <row r="54" spans="6:85" x14ac:dyDescent="0.25">
      <c r="AJ54" s="1"/>
      <c r="AK54" s="2"/>
      <c r="AL54" s="2"/>
      <c r="AM54" s="2"/>
      <c r="AR54" s="1"/>
      <c r="AS54" s="2"/>
      <c r="AT54" s="2"/>
      <c r="AU54" s="2"/>
      <c r="AZ54" s="1"/>
      <c r="BA54" s="2"/>
      <c r="BB54" s="2"/>
      <c r="BC54" s="2"/>
      <c r="BN54" s="1"/>
      <c r="BO54" s="2"/>
      <c r="BQ54" s="2"/>
      <c r="BV54" s="1"/>
      <c r="BW54" s="2"/>
      <c r="BY54" s="2"/>
      <c r="BZ54" s="4"/>
      <c r="CD54" s="1"/>
      <c r="CE54" s="2"/>
      <c r="CG54" s="2"/>
    </row>
    <row r="55" spans="6:85" x14ac:dyDescent="0.25">
      <c r="AJ55" s="1"/>
      <c r="AK55" s="2"/>
      <c r="AL55" s="2"/>
      <c r="AM55" s="2"/>
      <c r="AR55" s="1"/>
      <c r="AS55" s="2"/>
      <c r="AT55" s="2"/>
      <c r="AU55" s="2"/>
      <c r="AZ55" s="1"/>
      <c r="BA55" s="2"/>
      <c r="BB55" s="2"/>
      <c r="BC55" s="2"/>
      <c r="BN55" s="1"/>
      <c r="BO55" s="2"/>
      <c r="BQ55" s="2"/>
      <c r="BV55" s="1"/>
      <c r="BW55" s="2"/>
      <c r="BY55" s="2"/>
      <c r="BZ55" s="4"/>
      <c r="CD55" s="1"/>
      <c r="CE55" s="2"/>
      <c r="CG55" s="2"/>
    </row>
    <row r="56" spans="6:85" x14ac:dyDescent="0.25">
      <c r="AJ56" s="1"/>
      <c r="AK56" s="2"/>
      <c r="AL56" s="2"/>
      <c r="AM56" s="2"/>
      <c r="AR56" s="1"/>
      <c r="AS56" s="2"/>
      <c r="AT56" s="2"/>
      <c r="AU56" s="2"/>
      <c r="AZ56" s="1"/>
      <c r="BA56" s="2"/>
      <c r="BB56" s="2"/>
      <c r="BC56" s="2"/>
      <c r="BN56" s="1"/>
      <c r="BO56" s="2"/>
      <c r="BQ56" s="2"/>
      <c r="BV56" s="1"/>
      <c r="BW56" s="2"/>
      <c r="BY56" s="2"/>
      <c r="BZ56" s="4"/>
      <c r="CD56" s="1"/>
      <c r="CE56" s="2"/>
      <c r="CG56" s="2"/>
    </row>
    <row r="57" spans="6:85" x14ac:dyDescent="0.25">
      <c r="AJ57" s="1"/>
      <c r="AK57" s="2"/>
      <c r="AL57" s="2"/>
      <c r="AM57" s="2"/>
      <c r="AR57" s="1"/>
      <c r="AS57" s="2"/>
      <c r="AT57" s="2"/>
      <c r="AU57" s="2"/>
      <c r="AZ57" s="1"/>
      <c r="BA57" s="2"/>
      <c r="BB57" s="2"/>
      <c r="BC57" s="2"/>
      <c r="BN57" s="1"/>
      <c r="BO57" s="2"/>
      <c r="BQ57" s="2"/>
      <c r="BV57" s="1"/>
      <c r="BW57" s="2"/>
      <c r="BY57" s="2"/>
      <c r="BZ57" s="4"/>
      <c r="CD57" s="1"/>
      <c r="CE57" s="2"/>
      <c r="CG57" s="2"/>
    </row>
    <row r="58" spans="6:85" x14ac:dyDescent="0.25">
      <c r="AJ58" s="1"/>
      <c r="AK58" s="2"/>
      <c r="AL58" s="2"/>
      <c r="AR58" s="1"/>
      <c r="AS58" s="2"/>
      <c r="AT58" s="2"/>
      <c r="AZ58" s="1"/>
      <c r="BA58" s="2"/>
      <c r="BB58" s="2"/>
      <c r="BN58" s="1"/>
      <c r="BO58" s="2"/>
      <c r="BQ58" s="2"/>
      <c r="BV58" s="1"/>
      <c r="BW58" s="2"/>
      <c r="BY58" s="2"/>
      <c r="BZ58" s="4"/>
      <c r="CD58" s="1"/>
      <c r="CE58" s="2"/>
      <c r="CG58" s="2"/>
    </row>
    <row r="59" spans="6:85" x14ac:dyDescent="0.25">
      <c r="AE59" s="1"/>
      <c r="AJ59" s="1"/>
      <c r="AK59" s="2"/>
      <c r="AL59" s="2"/>
      <c r="AR59" s="1"/>
      <c r="AS59" s="2"/>
      <c r="AT59" s="2"/>
      <c r="AZ59" s="1"/>
      <c r="BA59" s="2"/>
      <c r="BB59" s="2"/>
      <c r="BN59" s="1"/>
      <c r="BO59" s="2"/>
      <c r="BQ59" s="2"/>
      <c r="BV59" s="1"/>
      <c r="BW59" s="2"/>
      <c r="BY59" s="2"/>
      <c r="BZ59" s="4"/>
      <c r="CD59" s="1"/>
      <c r="CE59" s="2"/>
      <c r="CG59" s="2"/>
    </row>
    <row r="60" spans="6:85" x14ac:dyDescent="0.25">
      <c r="AJ60" s="1"/>
      <c r="AK60" s="2"/>
      <c r="AL60" s="2"/>
      <c r="AR60" s="1"/>
      <c r="AS60" s="2"/>
      <c r="AT60" s="2"/>
      <c r="AZ60" s="1"/>
      <c r="BA60" s="2"/>
      <c r="BB60" s="2"/>
      <c r="BN60" s="1"/>
      <c r="BO60" s="2"/>
      <c r="BQ60" s="2"/>
      <c r="BV60" s="1"/>
      <c r="BW60" s="2"/>
      <c r="BY60" s="2"/>
      <c r="BZ60" s="4"/>
      <c r="CD60" s="1"/>
      <c r="CE60" s="2"/>
      <c r="CG60" s="2"/>
    </row>
    <row r="61" spans="6:85" x14ac:dyDescent="0.25">
      <c r="AJ61" s="1"/>
      <c r="AK61" s="2"/>
      <c r="AL61" s="2"/>
      <c r="AR61" s="1"/>
      <c r="AS61" s="2"/>
      <c r="AT61" s="2"/>
      <c r="AZ61" s="1"/>
      <c r="BA61" s="2"/>
      <c r="BB61" s="2"/>
      <c r="BN61" s="1"/>
      <c r="BO61" s="2"/>
      <c r="BQ61" s="2"/>
      <c r="BV61" s="1"/>
      <c r="BW61" s="2"/>
      <c r="BY61" s="2"/>
      <c r="BZ61" s="4"/>
      <c r="CD61" s="1"/>
      <c r="CE61" s="2"/>
      <c r="CG61" s="2"/>
    </row>
    <row r="62" spans="6:85" x14ac:dyDescent="0.25">
      <c r="AJ62" s="1"/>
      <c r="AK62" s="2"/>
      <c r="AL62" s="2"/>
      <c r="AR62" s="1"/>
      <c r="AS62" s="2"/>
      <c r="AT62" s="2"/>
      <c r="AZ62" s="1"/>
      <c r="BA62" s="2"/>
      <c r="BB62" s="2"/>
      <c r="BN62" s="1"/>
      <c r="BQ62" s="2"/>
      <c r="BV62" s="1"/>
      <c r="BY62" s="2"/>
      <c r="BZ62" s="4"/>
      <c r="CD62" s="1"/>
      <c r="CG62" s="2"/>
    </row>
    <row r="63" spans="6:85" x14ac:dyDescent="0.25">
      <c r="AJ63" s="1"/>
      <c r="AK63" s="2"/>
      <c r="AL63" s="2"/>
      <c r="AR63" s="1"/>
      <c r="AS63" s="2"/>
      <c r="AT63" s="2"/>
      <c r="AZ63" s="1"/>
      <c r="BA63" s="2"/>
      <c r="BB63" s="2"/>
      <c r="BN63" s="1"/>
      <c r="BQ63" s="2"/>
      <c r="BV63" s="1"/>
      <c r="BY63" s="2"/>
      <c r="BZ63" s="4"/>
      <c r="CD63" s="1"/>
      <c r="CG63" s="2"/>
    </row>
    <row r="64" spans="6:85" x14ac:dyDescent="0.25">
      <c r="AJ64" s="1"/>
      <c r="AK64" s="2"/>
      <c r="AL64" s="2"/>
      <c r="AR64" s="1"/>
      <c r="AS64" s="2"/>
      <c r="AT64" s="2"/>
      <c r="AZ64" s="1"/>
      <c r="BA64" s="2"/>
      <c r="BB64" s="2"/>
      <c r="BN64" s="1"/>
      <c r="BQ64" s="2"/>
      <c r="BV64" s="1"/>
      <c r="BY64" s="2"/>
      <c r="BZ64" s="4"/>
      <c r="CD64" s="1"/>
      <c r="CG64" s="2"/>
    </row>
    <row r="65" spans="36:118" x14ac:dyDescent="0.25">
      <c r="AJ65" s="1"/>
      <c r="AK65" s="2"/>
      <c r="AL65" s="2"/>
      <c r="AR65" s="1"/>
      <c r="AS65" s="2"/>
      <c r="AT65" s="2"/>
      <c r="AZ65" s="1"/>
      <c r="BA65" s="2"/>
      <c r="BB65" s="2"/>
      <c r="BN65" s="1"/>
      <c r="BQ65" s="2"/>
      <c r="BV65" s="1"/>
      <c r="BY65" s="2"/>
      <c r="BZ65" s="4"/>
      <c r="CD65" s="1"/>
      <c r="CG65" s="2"/>
    </row>
    <row r="66" spans="36:118" x14ac:dyDescent="0.25">
      <c r="AJ66" s="1"/>
      <c r="AK66" s="2"/>
      <c r="AL66" s="2"/>
      <c r="AR66" s="1"/>
      <c r="AS66" s="2"/>
      <c r="AT66" s="2"/>
      <c r="AZ66" s="1"/>
      <c r="BA66" s="2"/>
      <c r="BB66" s="2"/>
      <c r="BN66" s="1"/>
      <c r="BQ66" s="2"/>
      <c r="BV66" s="1"/>
      <c r="BY66" s="2"/>
      <c r="BZ66" s="4"/>
      <c r="CD66" s="1"/>
      <c r="CG66" s="2"/>
    </row>
    <row r="67" spans="36:118" x14ac:dyDescent="0.25">
      <c r="AJ67" s="1"/>
      <c r="AK67" s="2"/>
      <c r="AL67" s="2"/>
      <c r="AR67" s="1"/>
      <c r="AS67" s="2"/>
      <c r="AT67" s="2"/>
      <c r="AZ67" s="1"/>
      <c r="BA67" s="2"/>
      <c r="BB67" s="2"/>
      <c r="BN67" s="1"/>
      <c r="BQ67" s="2"/>
      <c r="BV67" s="1"/>
      <c r="BY67" s="2"/>
      <c r="BZ67" s="4"/>
      <c r="CD67" s="1"/>
      <c r="CG67" s="2"/>
    </row>
    <row r="68" spans="36:118" x14ac:dyDescent="0.25">
      <c r="AJ68" s="1"/>
      <c r="AK68" s="2"/>
      <c r="AL68" s="2"/>
      <c r="AR68" s="1"/>
      <c r="AS68" s="2"/>
      <c r="AT68" s="2"/>
      <c r="AZ68" s="1"/>
      <c r="BA68" s="2"/>
      <c r="BB68" s="2"/>
      <c r="BN68" s="1"/>
      <c r="BQ68" s="2"/>
      <c r="BV68" s="1"/>
      <c r="BY68" s="2"/>
      <c r="BZ68" s="4"/>
      <c r="CD68" s="1"/>
      <c r="CG68" s="2"/>
    </row>
    <row r="69" spans="36:118" x14ac:dyDescent="0.25">
      <c r="AJ69" s="1"/>
      <c r="AK69" s="2"/>
      <c r="AL69" s="2"/>
      <c r="AR69" s="1"/>
      <c r="AS69" s="2"/>
      <c r="AT69" s="2"/>
      <c r="AZ69" s="1"/>
      <c r="BA69" s="2"/>
      <c r="BB69" s="2"/>
      <c r="BN69" s="1"/>
      <c r="BQ69" s="2"/>
      <c r="BV69" s="1"/>
      <c r="BY69" s="2"/>
      <c r="BZ69" s="4"/>
      <c r="CD69" s="1"/>
      <c r="CG69" s="2"/>
    </row>
    <row r="70" spans="36:118" x14ac:dyDescent="0.25">
      <c r="AJ70" s="1"/>
      <c r="AK70" s="2"/>
      <c r="AL70" s="2"/>
      <c r="AR70" s="1"/>
      <c r="AS70" s="2"/>
      <c r="AT70" s="2"/>
      <c r="AZ70" s="1"/>
      <c r="BA70" s="2"/>
      <c r="BB70" s="2"/>
      <c r="BN70" s="1"/>
      <c r="BQ70" s="2"/>
      <c r="BV70" s="1"/>
      <c r="BY70" s="2"/>
      <c r="BZ70" s="4"/>
      <c r="CD70" s="1"/>
      <c r="CG70" s="2"/>
    </row>
    <row r="71" spans="36:118" x14ac:dyDescent="0.25">
      <c r="AJ71" s="1"/>
      <c r="AK71" s="1"/>
      <c r="AL71" s="1"/>
      <c r="AM71" s="1"/>
      <c r="AN71" s="1"/>
      <c r="AQ71" s="1"/>
      <c r="AR71" s="1"/>
      <c r="AS71" s="1"/>
      <c r="AT71" s="1"/>
      <c r="AU71" s="1"/>
      <c r="AV71" s="1"/>
      <c r="AY71" s="1"/>
      <c r="AZ71" s="1"/>
      <c r="BA71" s="1"/>
      <c r="BB71" s="1"/>
      <c r="BC71" s="1"/>
      <c r="BD71" s="1"/>
      <c r="BJ71" t="s">
        <v>19</v>
      </c>
      <c r="BK71">
        <v>1000</v>
      </c>
      <c r="BU71" s="1"/>
      <c r="CC71" s="1"/>
      <c r="CJ71" s="1"/>
    </row>
    <row r="72" spans="36:118" x14ac:dyDescent="0.25">
      <c r="BI72" t="s">
        <v>10</v>
      </c>
      <c r="BN72" s="1" t="s">
        <v>6</v>
      </c>
      <c r="BO72" s="1"/>
      <c r="BP72" s="1"/>
      <c r="BQ72" s="1"/>
      <c r="BR72" s="1"/>
      <c r="BS72" s="1"/>
      <c r="BT72" s="1"/>
      <c r="BU72" s="1"/>
      <c r="BV72" s="1" t="s">
        <v>5</v>
      </c>
      <c r="BW72" s="1"/>
      <c r="BX72" s="1"/>
      <c r="BY72" s="1"/>
      <c r="BZ72" s="1"/>
      <c r="CA72" s="1"/>
      <c r="CB72" s="1"/>
      <c r="CC72" s="1"/>
      <c r="CD72" s="1" t="s">
        <v>17</v>
      </c>
      <c r="CE72" s="1"/>
      <c r="CF72" s="1"/>
      <c r="CG72" s="1"/>
      <c r="CH72" s="1"/>
      <c r="CI72" s="1"/>
      <c r="CN72" t="s">
        <v>29</v>
      </c>
      <c r="CY72" s="1"/>
      <c r="DG72" s="1"/>
      <c r="DN72" s="1"/>
    </row>
    <row r="73" spans="36:118" x14ac:dyDescent="0.25">
      <c r="BI73" t="s">
        <v>8</v>
      </c>
      <c r="BJ73">
        <v>800</v>
      </c>
      <c r="BN73" s="1"/>
      <c r="BO73" s="1" t="s">
        <v>1</v>
      </c>
      <c r="BP73" s="1" t="s">
        <v>2</v>
      </c>
      <c r="BQ73" s="1" t="s">
        <v>3</v>
      </c>
      <c r="BR73" s="1" t="s">
        <v>4</v>
      </c>
      <c r="BS73" s="1" t="s">
        <v>28</v>
      </c>
      <c r="BT73" s="1"/>
      <c r="BU73" s="1"/>
      <c r="BV73" s="1"/>
      <c r="BW73" s="1" t="s">
        <v>1</v>
      </c>
      <c r="BX73" s="1" t="s">
        <v>2</v>
      </c>
      <c r="BY73" s="1" t="s">
        <v>3</v>
      </c>
      <c r="BZ73" s="1" t="s">
        <v>4</v>
      </c>
      <c r="CA73" s="1" t="s">
        <v>28</v>
      </c>
      <c r="CB73" s="1"/>
      <c r="CC73" s="1"/>
      <c r="CD73" s="1"/>
      <c r="CE73" s="1" t="s">
        <v>1</v>
      </c>
      <c r="CF73" s="1" t="s">
        <v>2</v>
      </c>
      <c r="CG73" s="1" t="s">
        <v>3</v>
      </c>
      <c r="CH73" s="1" t="s">
        <v>4</v>
      </c>
      <c r="CI73" s="1" t="s">
        <v>28</v>
      </c>
      <c r="CM73" t="s">
        <v>10</v>
      </c>
      <c r="CR73" s="1" t="s">
        <v>6</v>
      </c>
      <c r="CS73" s="1"/>
      <c r="CT73" s="1"/>
      <c r="CU73" s="1"/>
      <c r="CV73" s="1"/>
      <c r="CW73" s="1"/>
      <c r="CX73" s="1"/>
      <c r="CY73" s="1"/>
      <c r="CZ73" s="1" t="s">
        <v>5</v>
      </c>
      <c r="DA73" s="1"/>
      <c r="DB73" s="1"/>
      <c r="DC73" s="1"/>
      <c r="DD73" s="1"/>
      <c r="DE73" s="1"/>
      <c r="DF73" s="1"/>
      <c r="DG73" s="1"/>
      <c r="DH73" s="1" t="s">
        <v>17</v>
      </c>
      <c r="DI73" s="1"/>
      <c r="DJ73" s="1"/>
      <c r="DK73" s="1"/>
      <c r="DL73" s="1"/>
      <c r="DM73" s="1"/>
    </row>
    <row r="74" spans="36:118" ht="16.5" x14ac:dyDescent="0.25">
      <c r="BI74" t="s">
        <v>9</v>
      </c>
      <c r="BJ74">
        <v>200</v>
      </c>
      <c r="BN74" s="1">
        <v>1</v>
      </c>
      <c r="BO74" s="2"/>
      <c r="BP74" s="6">
        <v>0.98035882256333795</v>
      </c>
      <c r="BQ74" s="6">
        <v>0.95007692281149403</v>
      </c>
      <c r="BR74">
        <v>1.070254</v>
      </c>
      <c r="BS74" s="2">
        <v>0.85880735146629605</v>
      </c>
      <c r="BU74" s="1"/>
      <c r="BV74" s="1">
        <v>1</v>
      </c>
      <c r="BW74" s="2"/>
      <c r="BX74" s="6">
        <v>0.693290978333713</v>
      </c>
      <c r="BY74" s="6">
        <v>0.69309567277930295</v>
      </c>
      <c r="BZ74">
        <v>0.69350999999999996</v>
      </c>
      <c r="CA74" s="2">
        <v>0.83652826856746798</v>
      </c>
      <c r="CC74" s="1"/>
      <c r="CD74" s="1">
        <v>1</v>
      </c>
      <c r="CE74" s="2"/>
      <c r="CF74" s="6">
        <v>1.08894787308249</v>
      </c>
      <c r="CG74" s="6">
        <v>1.6515736139230801</v>
      </c>
      <c r="CH74">
        <v>1.4625349999999999</v>
      </c>
      <c r="CI74" s="2">
        <v>0.89539721017650797</v>
      </c>
      <c r="CM74" t="s">
        <v>8</v>
      </c>
      <c r="CN74">
        <v>1600</v>
      </c>
      <c r="CR74" s="1"/>
      <c r="CS74" s="1" t="s">
        <v>1</v>
      </c>
      <c r="CT74" s="1" t="s">
        <v>2</v>
      </c>
      <c r="CU74" s="1" t="s">
        <v>3</v>
      </c>
      <c r="CV74" s="1" t="s">
        <v>4</v>
      </c>
      <c r="CW74" s="1" t="s">
        <v>28</v>
      </c>
      <c r="CX74" s="1"/>
      <c r="CY74" s="1"/>
      <c r="CZ74" s="1"/>
      <c r="DA74" s="1" t="s">
        <v>1</v>
      </c>
      <c r="DB74" s="1" t="s">
        <v>2</v>
      </c>
      <c r="DC74" s="1" t="s">
        <v>3</v>
      </c>
      <c r="DD74" s="1" t="s">
        <v>4</v>
      </c>
      <c r="DE74" s="1" t="s">
        <v>28</v>
      </c>
      <c r="DF74" s="1"/>
      <c r="DG74" s="1"/>
      <c r="DH74" s="1"/>
      <c r="DI74" s="1" t="s">
        <v>1</v>
      </c>
      <c r="DJ74" s="1" t="s">
        <v>2</v>
      </c>
      <c r="DK74" s="1" t="s">
        <v>3</v>
      </c>
      <c r="DL74" s="1" t="s">
        <v>4</v>
      </c>
      <c r="DM74" s="1" t="s">
        <v>28</v>
      </c>
    </row>
    <row r="75" spans="36:118" ht="16.5" x14ac:dyDescent="0.25">
      <c r="BI75" t="s">
        <v>11</v>
      </c>
      <c r="BJ75">
        <v>90</v>
      </c>
      <c r="BN75" s="1">
        <v>2</v>
      </c>
      <c r="BO75" s="2"/>
      <c r="BP75" s="6">
        <v>0.95577341737754495</v>
      </c>
      <c r="BQ75" s="6">
        <v>0.96061416886439899</v>
      </c>
      <c r="BS75" s="2">
        <v>0.88332548809142497</v>
      </c>
      <c r="BU75" s="1"/>
      <c r="BV75" s="1">
        <v>2</v>
      </c>
      <c r="BW75" s="2"/>
      <c r="BX75" s="6">
        <v>0.69304340541999498</v>
      </c>
      <c r="BY75" s="6">
        <v>0.69305053559686103</v>
      </c>
      <c r="CA75" s="2">
        <v>0.83642188469350698</v>
      </c>
      <c r="CC75" s="1"/>
      <c r="CD75" s="1">
        <v>2</v>
      </c>
      <c r="CE75" s="2"/>
      <c r="CF75" s="6">
        <v>1.06046422485473</v>
      </c>
      <c r="CG75" s="6">
        <v>1.7010207159525901</v>
      </c>
      <c r="CI75" s="2">
        <v>0.87452928523951001</v>
      </c>
      <c r="CM75" t="s">
        <v>9</v>
      </c>
      <c r="CN75">
        <v>400</v>
      </c>
      <c r="CR75" s="1">
        <v>1</v>
      </c>
      <c r="CS75" s="2">
        <v>2.7675804243115E-3</v>
      </c>
      <c r="CT75" s="2">
        <v>1.3232723196345999E-3</v>
      </c>
      <c r="CU75" s="2">
        <v>7.70655345681482E-4</v>
      </c>
      <c r="CV75" s="5">
        <v>1.94E-4</v>
      </c>
      <c r="CW75" s="2">
        <v>1.6556007383542799E-2</v>
      </c>
      <c r="CY75" s="1"/>
      <c r="CZ75" s="1">
        <v>1</v>
      </c>
      <c r="DA75" s="2"/>
      <c r="DB75" s="2"/>
      <c r="DC75" s="2"/>
      <c r="DD75">
        <v>1.4860999999999999E-2</v>
      </c>
      <c r="DE75" s="2">
        <v>1.8989650850288999E-2</v>
      </c>
      <c r="DG75" s="1"/>
      <c r="DH75" s="1">
        <v>1</v>
      </c>
      <c r="DI75" s="2"/>
      <c r="DJ75" s="2"/>
      <c r="DK75" s="2"/>
      <c r="DL75" s="5">
        <v>5.3568459999999999E-14</v>
      </c>
      <c r="DM75" s="2">
        <v>1.8075615569879501E-2</v>
      </c>
    </row>
    <row r="76" spans="36:118" ht="16.5" x14ac:dyDescent="0.25">
      <c r="BI76" t="s">
        <v>12</v>
      </c>
      <c r="BJ76">
        <v>10</v>
      </c>
      <c r="BN76" s="1">
        <v>3</v>
      </c>
      <c r="BO76" s="2"/>
      <c r="BP76" s="6">
        <v>0.97293347440165501</v>
      </c>
      <c r="BQ76" s="6">
        <v>0.96926070084248805</v>
      </c>
      <c r="BS76" s="2">
        <v>0.92687584685637903</v>
      </c>
      <c r="BU76" s="1"/>
      <c r="BV76" s="1">
        <v>3</v>
      </c>
      <c r="BW76" s="2"/>
      <c r="BX76" s="6">
        <v>0.69319304304784701</v>
      </c>
      <c r="BY76" s="6">
        <v>0.69352773440881799</v>
      </c>
      <c r="CA76" s="2">
        <v>0.87954426586374002</v>
      </c>
      <c r="CC76" s="1"/>
      <c r="CD76" s="1">
        <v>3</v>
      </c>
      <c r="CE76" s="2"/>
      <c r="CF76" s="6">
        <v>1.06338766050571</v>
      </c>
      <c r="CG76" s="6">
        <v>1.6828725028506399</v>
      </c>
      <c r="CI76" s="2">
        <v>0.94464161870055297</v>
      </c>
      <c r="CM76" t="s">
        <v>11</v>
      </c>
      <c r="CN76">
        <v>90</v>
      </c>
      <c r="CR76" s="1">
        <v>2</v>
      </c>
      <c r="CS76" s="2"/>
      <c r="CT76" s="2"/>
      <c r="CU76" s="2"/>
      <c r="CW76" s="2">
        <v>1.7121218780201099E-2</v>
      </c>
      <c r="CY76" s="1"/>
      <c r="CZ76" s="1">
        <v>2</v>
      </c>
      <c r="DA76" s="2"/>
      <c r="DB76" s="2"/>
      <c r="DC76" s="2"/>
      <c r="DE76" s="2">
        <v>2.0078219824251599E-2</v>
      </c>
      <c r="DG76" s="1"/>
      <c r="DH76" s="1">
        <v>2</v>
      </c>
      <c r="DI76" s="2"/>
      <c r="DJ76" s="2"/>
      <c r="DK76" s="2"/>
      <c r="DM76" s="2">
        <v>1.7803741289040699E-2</v>
      </c>
    </row>
    <row r="77" spans="36:118" ht="16.5" x14ac:dyDescent="0.25">
      <c r="BI77" t="s">
        <v>13</v>
      </c>
      <c r="BK77">
        <v>0</v>
      </c>
      <c r="BL77">
        <v>1</v>
      </c>
      <c r="BN77" s="1">
        <v>4</v>
      </c>
      <c r="BO77" s="2"/>
      <c r="BP77" s="6">
        <v>0.94493751538632598</v>
      </c>
      <c r="BQ77" s="6">
        <v>0.96212742609312196</v>
      </c>
      <c r="BS77" s="2">
        <v>0.849964552456969</v>
      </c>
      <c r="BU77" s="1"/>
      <c r="BV77" s="1">
        <v>4</v>
      </c>
      <c r="BW77" s="2"/>
      <c r="BX77" s="6">
        <v>0.69299616905374395</v>
      </c>
      <c r="BY77" s="6">
        <v>0.69301204947716399</v>
      </c>
      <c r="CA77" s="2">
        <v>0.81270507835309502</v>
      </c>
      <c r="CC77" s="1"/>
      <c r="CD77" s="1">
        <v>4</v>
      </c>
      <c r="CE77" s="2"/>
      <c r="CF77" s="6">
        <v>1.0664763251869001</v>
      </c>
      <c r="CG77" s="6">
        <v>1.6907496820030301</v>
      </c>
      <c r="CI77" s="2">
        <v>0.849186822376506</v>
      </c>
      <c r="CM77" t="s">
        <v>12</v>
      </c>
      <c r="CN77">
        <v>10</v>
      </c>
      <c r="CR77" s="1">
        <v>3</v>
      </c>
      <c r="CS77" s="2"/>
      <c r="CT77" s="2"/>
      <c r="CU77" s="2"/>
      <c r="CW77" s="2">
        <v>2.0977249537002401E-2</v>
      </c>
      <c r="CY77" s="1"/>
      <c r="CZ77" s="1">
        <v>3</v>
      </c>
      <c r="DA77" s="2"/>
      <c r="DB77" s="2"/>
      <c r="DC77" s="2"/>
      <c r="DE77" s="2">
        <v>2.02031316033515E-2</v>
      </c>
      <c r="DG77" s="1"/>
      <c r="DH77" s="1">
        <v>3</v>
      </c>
      <c r="DI77" s="2"/>
      <c r="DJ77" s="2"/>
      <c r="DK77" s="2"/>
      <c r="DM77" s="2">
        <v>2.0585525453393101E-2</v>
      </c>
    </row>
    <row r="78" spans="36:118" ht="16.5" x14ac:dyDescent="0.25">
      <c r="BI78" t="s">
        <v>14</v>
      </c>
      <c r="BK78">
        <v>0</v>
      </c>
      <c r="BL78">
        <v>1</v>
      </c>
      <c r="BN78" s="1">
        <v>5</v>
      </c>
      <c r="BO78" s="2"/>
      <c r="BP78" s="6">
        <v>0.94172922425972805</v>
      </c>
      <c r="BQ78" s="6">
        <v>0.977702787165176</v>
      </c>
      <c r="BS78" s="2">
        <v>0.88264758206146399</v>
      </c>
      <c r="BU78" s="1"/>
      <c r="BV78" s="1">
        <v>5</v>
      </c>
      <c r="BW78" s="2"/>
      <c r="BX78" s="6">
        <v>0.69310979927180005</v>
      </c>
      <c r="BY78" s="6">
        <v>0.69351161548285301</v>
      </c>
      <c r="CA78" s="2">
        <v>0.84572849017303198</v>
      </c>
      <c r="CC78" s="1"/>
      <c r="CD78" s="1">
        <v>5</v>
      </c>
      <c r="CE78" s="2"/>
      <c r="CF78" s="6">
        <v>1.04570700199485</v>
      </c>
      <c r="CG78" s="6">
        <v>1.7119929698463301</v>
      </c>
      <c r="CI78" s="2">
        <v>0.93161239148680797</v>
      </c>
      <c r="CM78" t="s">
        <v>13</v>
      </c>
      <c r="CO78">
        <v>-3</v>
      </c>
      <c r="CP78">
        <v>3</v>
      </c>
      <c r="CR78" s="1">
        <v>4</v>
      </c>
      <c r="CS78" s="2"/>
      <c r="CT78" s="2"/>
      <c r="CU78" s="2"/>
      <c r="CW78" s="2">
        <v>1.9164136902989199E-2</v>
      </c>
      <c r="CY78" s="1"/>
      <c r="CZ78" s="1">
        <v>4</v>
      </c>
      <c r="DA78" s="2"/>
      <c r="DB78" s="2"/>
      <c r="DC78" s="2"/>
      <c r="DE78" s="2">
        <v>2.1135183283416702E-2</v>
      </c>
      <c r="DG78" s="1"/>
      <c r="DH78" s="1">
        <v>4</v>
      </c>
      <c r="DI78" s="2"/>
      <c r="DJ78" s="2"/>
      <c r="DK78" s="2"/>
      <c r="DM78" s="2">
        <v>1.8737111264408499E-2</v>
      </c>
    </row>
    <row r="79" spans="36:118" ht="16.5" x14ac:dyDescent="0.25">
      <c r="BI79" t="s">
        <v>16</v>
      </c>
      <c r="BJ79">
        <v>42</v>
      </c>
      <c r="BN79" s="1">
        <v>6</v>
      </c>
      <c r="BO79" s="2"/>
      <c r="BP79" s="6">
        <v>0.95224912363634395</v>
      </c>
      <c r="BQ79" s="6">
        <v>0.98141302740977698</v>
      </c>
      <c r="BS79" s="2">
        <v>0.94888415355113898</v>
      </c>
      <c r="BV79" s="1">
        <v>6</v>
      </c>
      <c r="BW79" s="2"/>
      <c r="BX79" s="6">
        <v>0.69325418731714905</v>
      </c>
      <c r="BY79" s="6">
        <v>0.69317067373801999</v>
      </c>
      <c r="CA79" s="2">
        <v>0.89379721336034701</v>
      </c>
      <c r="CD79" s="1">
        <v>6</v>
      </c>
      <c r="CE79" s="2"/>
      <c r="CF79" s="6">
        <v>1.0968764935686801</v>
      </c>
      <c r="CG79" s="6">
        <v>1.6788094116560199</v>
      </c>
      <c r="CI79" s="2">
        <v>1.0051575863065501</v>
      </c>
      <c r="CM79" t="s">
        <v>14</v>
      </c>
      <c r="CO79">
        <v>-3</v>
      </c>
      <c r="CP79">
        <v>3</v>
      </c>
      <c r="CR79" s="1">
        <v>5</v>
      </c>
      <c r="CS79" s="2"/>
      <c r="CT79" s="2"/>
      <c r="CU79" s="2"/>
      <c r="CW79" s="2">
        <v>2.20777426860648E-2</v>
      </c>
      <c r="CY79" s="1"/>
      <c r="CZ79" s="1">
        <v>5</v>
      </c>
      <c r="DA79" s="2"/>
      <c r="DB79" s="2"/>
      <c r="DC79" s="2"/>
      <c r="DE79" s="2">
        <v>2.21260765628358E-2</v>
      </c>
      <c r="DG79" s="1"/>
      <c r="DH79" s="1">
        <v>5</v>
      </c>
      <c r="DI79" s="2"/>
      <c r="DJ79" s="2"/>
      <c r="DK79" s="2"/>
      <c r="DM79" s="2">
        <v>2.3272869818156398E-2</v>
      </c>
    </row>
    <row r="80" spans="36:118" ht="16.5" x14ac:dyDescent="0.25">
      <c r="BI80" s="1" t="s">
        <v>20</v>
      </c>
      <c r="BJ80" s="1">
        <v>500</v>
      </c>
      <c r="BN80" s="1">
        <v>7</v>
      </c>
      <c r="BO80" s="2"/>
      <c r="BP80" s="6">
        <v>0.95743283574737703</v>
      </c>
      <c r="BQ80" s="6">
        <v>0.961927854919988</v>
      </c>
      <c r="BS80" s="2">
        <v>0.88787875010575201</v>
      </c>
      <c r="BV80" s="1">
        <v>7</v>
      </c>
      <c r="BW80" s="2"/>
      <c r="BX80" s="6">
        <v>0.69299815573163004</v>
      </c>
      <c r="BY80" s="6">
        <v>0.69315112846459104</v>
      </c>
      <c r="CA80" s="2">
        <v>0.85244144781318698</v>
      </c>
      <c r="CD80" s="1">
        <v>7</v>
      </c>
      <c r="CE80" s="2"/>
      <c r="CF80" s="6">
        <v>1.0670950767910301</v>
      </c>
      <c r="CG80" s="6">
        <v>1.6884782620780401</v>
      </c>
      <c r="CI80" s="2">
        <v>0.87977858115530305</v>
      </c>
      <c r="CM80" t="s">
        <v>16</v>
      </c>
      <c r="CN80">
        <v>73</v>
      </c>
      <c r="CR80" s="1">
        <v>6</v>
      </c>
      <c r="CS80" s="2"/>
      <c r="CT80" s="2"/>
      <c r="CU80" s="2"/>
      <c r="CW80" s="2">
        <v>1.5669047579218099E-2</v>
      </c>
      <c r="CZ80" s="1">
        <v>6</v>
      </c>
      <c r="DA80" s="2"/>
      <c r="DB80" s="2"/>
      <c r="DC80" s="2"/>
      <c r="DE80" s="2">
        <v>2.1001855546171701E-2</v>
      </c>
      <c r="DH80" s="1">
        <v>6</v>
      </c>
      <c r="DI80" s="2"/>
      <c r="DJ80" s="2"/>
      <c r="DK80" s="2"/>
      <c r="DM80" s="2">
        <v>1.7624365612870299E-2</v>
      </c>
    </row>
    <row r="81" spans="61:117" ht="16.5" x14ac:dyDescent="0.25">
      <c r="BI81" s="1" t="s">
        <v>15</v>
      </c>
      <c r="BJ81" s="1">
        <v>1</v>
      </c>
      <c r="BN81" s="1">
        <v>8</v>
      </c>
      <c r="BO81" s="2"/>
      <c r="BP81" s="6">
        <v>0.93767043834885799</v>
      </c>
      <c r="BQ81" s="6">
        <v>0.97174872621144404</v>
      </c>
      <c r="BS81" s="2">
        <v>0.98592877618261499</v>
      </c>
      <c r="BV81" s="1">
        <v>8</v>
      </c>
      <c r="BW81" s="2"/>
      <c r="BX81" s="6">
        <v>0.69307480757255702</v>
      </c>
      <c r="BY81" s="6">
        <v>0.69320754455427502</v>
      </c>
      <c r="CA81" s="2">
        <v>0.91123232686984401</v>
      </c>
      <c r="CD81" s="1">
        <v>8</v>
      </c>
      <c r="CE81" s="2"/>
      <c r="CF81" s="6">
        <v>1.06296283270588</v>
      </c>
      <c r="CG81" s="6">
        <v>1.7116258023116699</v>
      </c>
      <c r="CI81" s="2">
        <v>0.97401023338384196</v>
      </c>
      <c r="CM81" s="1" t="s">
        <v>20</v>
      </c>
      <c r="CN81" s="1">
        <v>500</v>
      </c>
      <c r="CR81" s="1">
        <v>7</v>
      </c>
      <c r="CS81" s="2"/>
      <c r="CT81" s="2"/>
      <c r="CU81" s="2"/>
      <c r="CW81" s="2">
        <v>1.78537992598196E-2</v>
      </c>
      <c r="CZ81" s="1">
        <v>7</v>
      </c>
      <c r="DA81" s="2"/>
      <c r="DB81" s="2"/>
      <c r="DC81" s="2"/>
      <c r="DE81" s="2">
        <v>2.0774024791378101E-2</v>
      </c>
      <c r="DH81" s="1">
        <v>7</v>
      </c>
      <c r="DI81" s="2"/>
      <c r="DJ81" s="2"/>
      <c r="DK81" s="2"/>
      <c r="DM81" s="2">
        <v>1.83010129296074E-2</v>
      </c>
    </row>
    <row r="82" spans="61:117" ht="16.5" x14ac:dyDescent="0.25">
      <c r="BN82" s="1">
        <v>9</v>
      </c>
      <c r="BO82" s="2"/>
      <c r="BP82" s="6">
        <v>1.0000399067269199</v>
      </c>
      <c r="BQ82" s="6">
        <v>0.95526995265703896</v>
      </c>
      <c r="BS82" s="2">
        <v>0.85990241854190297</v>
      </c>
      <c r="BV82" s="1">
        <v>9</v>
      </c>
      <c r="BW82" s="2"/>
      <c r="BX82" s="6">
        <v>0.69321121062443403</v>
      </c>
      <c r="BY82" s="6">
        <v>0.69331786313786303</v>
      </c>
      <c r="CA82" s="2">
        <v>0.82146104726580704</v>
      </c>
      <c r="CD82" s="1">
        <v>9</v>
      </c>
      <c r="CE82" s="2"/>
      <c r="CF82" s="6">
        <v>1.1387585772251001</v>
      </c>
      <c r="CG82" s="6">
        <v>1.6685980419745099</v>
      </c>
      <c r="CI82" s="2">
        <v>0.88794213957333201</v>
      </c>
      <c r="CM82" s="1" t="s">
        <v>15</v>
      </c>
      <c r="CN82" s="1">
        <v>1</v>
      </c>
      <c r="CR82" s="1">
        <v>8</v>
      </c>
      <c r="CS82" s="2"/>
      <c r="CT82" s="2"/>
      <c r="CU82" s="2"/>
      <c r="CW82" s="2">
        <v>1.7851073412137299E-2</v>
      </c>
      <c r="CZ82" s="1">
        <v>8</v>
      </c>
      <c r="DA82" s="2"/>
      <c r="DB82" s="2"/>
      <c r="DC82" s="2"/>
      <c r="DE82" s="2">
        <v>1.97038577016291E-2</v>
      </c>
      <c r="DH82" s="1">
        <v>8</v>
      </c>
      <c r="DI82" s="2"/>
      <c r="DJ82" s="2"/>
      <c r="DK82" s="2"/>
      <c r="DM82" s="2">
        <v>1.8736696397698802E-2</v>
      </c>
    </row>
    <row r="83" spans="61:117" ht="16.5" x14ac:dyDescent="0.25">
      <c r="BN83" s="1">
        <v>10</v>
      </c>
      <c r="BO83" s="2"/>
      <c r="BP83" s="6">
        <v>0.93693434702523304</v>
      </c>
      <c r="BQ83" s="6">
        <v>0.96551782527822205</v>
      </c>
      <c r="BS83" s="2">
        <v>0.87973749575206095</v>
      </c>
      <c r="BV83" s="1">
        <v>10</v>
      </c>
      <c r="BW83" s="2"/>
      <c r="BX83" s="6">
        <v>0.69299511459335295</v>
      </c>
      <c r="BY83" s="6">
        <v>0.693336923745551</v>
      </c>
      <c r="CA83" s="2">
        <v>0.83575695662027405</v>
      </c>
      <c r="CD83" s="1">
        <v>10</v>
      </c>
      <c r="CE83" s="2"/>
      <c r="CF83" s="6">
        <v>1.0444093487439501</v>
      </c>
      <c r="CG83" s="6">
        <v>1.74046018885104</v>
      </c>
      <c r="CI83" s="2">
        <v>0.88754599229037101</v>
      </c>
      <c r="CR83" s="1">
        <v>9</v>
      </c>
      <c r="CS83" s="2"/>
      <c r="CT83" s="2"/>
      <c r="CU83" s="2"/>
      <c r="CW83" s="2">
        <v>2.1213656976384099E-2</v>
      </c>
      <c r="CZ83" s="1">
        <v>9</v>
      </c>
      <c r="DA83" s="2"/>
      <c r="DB83" s="2"/>
      <c r="DC83" s="2"/>
      <c r="DE83" s="2">
        <v>1.9357325647053801E-2</v>
      </c>
      <c r="DH83" s="1">
        <v>9</v>
      </c>
      <c r="DI83" s="2"/>
      <c r="DJ83" s="2"/>
      <c r="DK83" s="2"/>
      <c r="DM83" s="2">
        <v>2.1753458229963499E-2</v>
      </c>
    </row>
    <row r="84" spans="61:117" ht="16.5" x14ac:dyDescent="0.25">
      <c r="BN84" s="1">
        <v>11</v>
      </c>
      <c r="BO84" s="2"/>
      <c r="BP84" s="2"/>
      <c r="BQ84" s="6">
        <v>0.97813334184117395</v>
      </c>
      <c r="BS84" s="2">
        <v>0.91917840064604195</v>
      </c>
      <c r="BV84" s="1">
        <v>11</v>
      </c>
      <c r="BW84" s="2"/>
      <c r="BX84" s="2"/>
      <c r="BY84" s="6">
        <v>0.69359310923298401</v>
      </c>
      <c r="CA84" s="2">
        <v>0.86082504822782802</v>
      </c>
      <c r="CD84" s="1">
        <v>11</v>
      </c>
      <c r="CE84" s="2"/>
      <c r="CF84" s="2"/>
      <c r="CG84" s="6">
        <v>1.7393539419188999</v>
      </c>
      <c r="CI84" s="2">
        <v>0.97594579336132004</v>
      </c>
      <c r="CR84" s="1">
        <v>10</v>
      </c>
      <c r="CS84" s="2"/>
      <c r="CT84" s="2"/>
      <c r="CU84" s="2"/>
      <c r="CW84" s="2">
        <v>1.87607582687257E-2</v>
      </c>
      <c r="CZ84" s="1">
        <v>10</v>
      </c>
      <c r="DA84" s="2"/>
      <c r="DB84" s="2"/>
      <c r="DC84" s="2"/>
      <c r="DE84" s="2">
        <v>1.8904182485790899E-2</v>
      </c>
      <c r="DH84" s="1">
        <v>10</v>
      </c>
      <c r="DI84" s="2"/>
      <c r="DJ84" s="2"/>
      <c r="DK84" s="2"/>
      <c r="DM84" s="2">
        <v>2.0027673537306001E-2</v>
      </c>
    </row>
    <row r="85" spans="61:117" ht="16.5" x14ac:dyDescent="0.25">
      <c r="BN85" s="1">
        <v>12</v>
      </c>
      <c r="BO85" s="2"/>
      <c r="BP85" s="2"/>
      <c r="BQ85" s="6">
        <v>0.97787810908663197</v>
      </c>
      <c r="BS85" s="2">
        <v>0.89639480319544296</v>
      </c>
      <c r="BV85" s="1">
        <v>12</v>
      </c>
      <c r="BW85" s="2"/>
      <c r="BX85" s="2"/>
      <c r="BY85" s="6">
        <v>0.69347117582458795</v>
      </c>
      <c r="CA85" s="2">
        <v>0.87686520561578796</v>
      </c>
      <c r="CD85" s="1">
        <v>12</v>
      </c>
      <c r="CE85" s="2"/>
      <c r="CF85" s="2"/>
      <c r="CG85" s="6">
        <v>1.6666144928902</v>
      </c>
      <c r="CI85" s="2">
        <v>0.924619608322373</v>
      </c>
      <c r="CR85" s="1">
        <v>11</v>
      </c>
      <c r="CS85" s="2"/>
      <c r="CT85" s="2"/>
      <c r="CU85" s="2"/>
      <c r="CW85" s="2">
        <v>1.60315874253741E-2</v>
      </c>
      <c r="CZ85" s="1">
        <v>11</v>
      </c>
      <c r="DA85" s="2"/>
      <c r="DB85" s="2"/>
      <c r="DC85" s="2"/>
      <c r="DE85" s="2">
        <v>1.8341140862474601E-2</v>
      </c>
      <c r="DH85" s="1">
        <v>11</v>
      </c>
      <c r="DI85" s="2"/>
      <c r="DJ85" s="2"/>
      <c r="DK85" s="2"/>
      <c r="DM85" s="2">
        <v>1.6879164003072999E-2</v>
      </c>
    </row>
    <row r="86" spans="61:117" ht="16.5" x14ac:dyDescent="0.25">
      <c r="BN86" s="1">
        <v>13</v>
      </c>
      <c r="BO86" s="2"/>
      <c r="BP86" s="2"/>
      <c r="BQ86" s="6">
        <v>0.97127473975275902</v>
      </c>
      <c r="BS86" s="2">
        <v>0.92708972603879203</v>
      </c>
      <c r="BV86" s="1">
        <v>13</v>
      </c>
      <c r="BW86" s="2"/>
      <c r="BX86" s="2"/>
      <c r="BY86" s="6">
        <v>0.69340050980203405</v>
      </c>
      <c r="CA86" s="2">
        <v>0.86714695228106997</v>
      </c>
      <c r="CD86" s="1">
        <v>13</v>
      </c>
      <c r="CE86" s="2"/>
      <c r="CF86" s="2"/>
      <c r="CG86" s="6">
        <v>1.6862662625085401</v>
      </c>
      <c r="CI86" s="2">
        <v>0.93425119087589503</v>
      </c>
      <c r="CR86" s="1">
        <v>12</v>
      </c>
      <c r="CS86" s="2"/>
      <c r="CT86" s="2"/>
      <c r="CU86" s="2"/>
      <c r="CW86" s="2">
        <v>1.9071731872666801E-2</v>
      </c>
      <c r="CZ86" s="1">
        <v>12</v>
      </c>
      <c r="DA86" s="2"/>
      <c r="DB86" s="2"/>
      <c r="DC86" s="2"/>
      <c r="DE86" s="2">
        <v>1.8933699663710599E-2</v>
      </c>
      <c r="DH86" s="1">
        <v>12</v>
      </c>
      <c r="DI86" s="2"/>
      <c r="DJ86" s="2"/>
      <c r="DK86" s="2"/>
      <c r="DM86" s="2">
        <v>2.03415989509096E-2</v>
      </c>
    </row>
    <row r="87" spans="61:117" ht="16.5" x14ac:dyDescent="0.25">
      <c r="BN87" s="1">
        <v>14</v>
      </c>
      <c r="BO87" s="2"/>
      <c r="BP87" s="2"/>
      <c r="BQ87" s="6">
        <v>0.96401521126378098</v>
      </c>
      <c r="BS87" s="2">
        <v>0.83794417219999595</v>
      </c>
      <c r="BV87" s="1">
        <v>14</v>
      </c>
      <c r="BW87" s="2"/>
      <c r="BX87" s="2"/>
      <c r="BY87" s="6">
        <v>0.69300046183971398</v>
      </c>
      <c r="CA87" s="2">
        <v>0.82613069752937096</v>
      </c>
      <c r="CD87" s="1">
        <v>14</v>
      </c>
      <c r="CE87" s="2"/>
      <c r="CF87" s="2"/>
      <c r="CG87" s="6">
        <v>1.6874102398454001</v>
      </c>
      <c r="CI87" s="2">
        <v>0.87192817775266496</v>
      </c>
      <c r="CR87" s="1">
        <v>13</v>
      </c>
      <c r="CS87" s="2"/>
      <c r="CT87" s="2"/>
      <c r="CU87" s="2"/>
      <c r="CW87" s="2">
        <v>1.7902760936283998E-2</v>
      </c>
      <c r="CZ87" s="1">
        <v>13</v>
      </c>
      <c r="DA87" s="2"/>
      <c r="DB87" s="2"/>
      <c r="DC87" s="2"/>
      <c r="DE87" s="2">
        <v>1.91385730609227E-2</v>
      </c>
      <c r="DH87" s="1">
        <v>13</v>
      </c>
      <c r="DI87" s="2"/>
      <c r="DJ87" s="2"/>
      <c r="DK87" s="2"/>
      <c r="DM87" s="2">
        <v>1.8873251964240799E-2</v>
      </c>
    </row>
    <row r="88" spans="61:117" ht="16.5" x14ac:dyDescent="0.25">
      <c r="BN88" s="1">
        <v>15</v>
      </c>
      <c r="BO88" s="2"/>
      <c r="BP88" s="2"/>
      <c r="BQ88" s="6">
        <v>0.98205287034992395</v>
      </c>
      <c r="BS88" s="2">
        <v>0.90588616627005902</v>
      </c>
      <c r="BV88" s="1">
        <v>15</v>
      </c>
      <c r="BW88" s="2"/>
      <c r="BX88" s="2"/>
      <c r="BY88" s="6">
        <v>0.69319263055362801</v>
      </c>
      <c r="CA88" s="2">
        <v>0.86304058976400699</v>
      </c>
      <c r="CD88" s="1">
        <v>15</v>
      </c>
      <c r="CE88" s="2"/>
      <c r="CF88" s="2"/>
      <c r="CG88" s="6">
        <v>1.69638821414553</v>
      </c>
      <c r="CI88" s="2">
        <v>0.912582426569297</v>
      </c>
      <c r="CR88" s="1">
        <v>14</v>
      </c>
      <c r="CS88" s="2"/>
      <c r="CT88" s="2"/>
      <c r="CU88" s="2"/>
      <c r="CW88" s="2">
        <v>1.78961108835889E-2</v>
      </c>
      <c r="CZ88" s="1">
        <v>14</v>
      </c>
      <c r="DA88" s="2"/>
      <c r="DB88" s="2"/>
      <c r="DC88" s="2"/>
      <c r="DE88" s="2">
        <v>1.9527788710163599E-2</v>
      </c>
      <c r="DH88" s="1">
        <v>14</v>
      </c>
      <c r="DI88" s="2"/>
      <c r="DJ88" s="2"/>
      <c r="DK88" s="2"/>
      <c r="DM88" s="2">
        <v>1.6687393338747001E-2</v>
      </c>
    </row>
    <row r="89" spans="61:117" ht="16.5" x14ac:dyDescent="0.25">
      <c r="BN89" s="1">
        <v>16</v>
      </c>
      <c r="BO89" s="2"/>
      <c r="BP89" s="2"/>
      <c r="BQ89" s="6">
        <v>0.96586292424270004</v>
      </c>
      <c r="BS89" s="2">
        <v>0.91561825556257304</v>
      </c>
      <c r="BV89" s="1">
        <v>16</v>
      </c>
      <c r="BW89" s="2"/>
      <c r="BX89" s="2"/>
      <c r="BY89" s="6">
        <v>0.69333069245300105</v>
      </c>
      <c r="CA89" s="2">
        <v>0.84099715923057305</v>
      </c>
      <c r="CD89" s="1">
        <v>16</v>
      </c>
      <c r="CE89" s="2"/>
      <c r="CF89" s="2"/>
      <c r="CG89" s="6">
        <v>1.69518054362952</v>
      </c>
      <c r="CI89" s="2">
        <v>0.93440843563020204</v>
      </c>
      <c r="CR89" s="1">
        <v>15</v>
      </c>
      <c r="CS89" s="2"/>
      <c r="CT89" s="2"/>
      <c r="CU89" s="2"/>
      <c r="CW89" s="2">
        <v>1.73135355629408E-2</v>
      </c>
      <c r="CZ89" s="1">
        <v>15</v>
      </c>
      <c r="DA89" s="2"/>
      <c r="DB89" s="2"/>
      <c r="DC89" s="2"/>
      <c r="DE89" s="2">
        <v>1.9055975482808699E-2</v>
      </c>
      <c r="DH89" s="1">
        <v>15</v>
      </c>
      <c r="DI89" s="2"/>
      <c r="DJ89" s="2"/>
      <c r="DK89" s="2"/>
      <c r="DM89" s="2">
        <v>1.6866268453485399E-2</v>
      </c>
    </row>
    <row r="90" spans="61:117" ht="16.5" x14ac:dyDescent="0.25">
      <c r="BN90" s="1">
        <v>17</v>
      </c>
      <c r="BO90" s="2"/>
      <c r="BP90" s="2"/>
      <c r="BQ90" s="6">
        <v>0.96766027560757095</v>
      </c>
      <c r="BS90" s="2">
        <v>0.88971487040619102</v>
      </c>
      <c r="BV90" s="1">
        <v>17</v>
      </c>
      <c r="BW90" s="2"/>
      <c r="BX90" s="2"/>
      <c r="BY90" s="6">
        <v>0.69310172913769597</v>
      </c>
      <c r="CA90" s="2">
        <v>0.83573668185786099</v>
      </c>
      <c r="CD90" s="1">
        <v>17</v>
      </c>
      <c r="CE90" s="2"/>
      <c r="CF90" s="2"/>
      <c r="CG90" s="6">
        <v>1.7009856141419699</v>
      </c>
      <c r="CI90" s="2">
        <v>0.89707190233563705</v>
      </c>
      <c r="CR90" s="1">
        <v>16</v>
      </c>
      <c r="CS90" s="2"/>
      <c r="CT90" s="2"/>
      <c r="CU90" s="2"/>
      <c r="CW90" s="2">
        <v>2.03987493817103E-2</v>
      </c>
      <c r="CZ90" s="1">
        <v>16</v>
      </c>
      <c r="DA90" s="2"/>
      <c r="DB90" s="2"/>
      <c r="DC90" s="2"/>
      <c r="DE90" s="2">
        <v>2.0269757054222001E-2</v>
      </c>
      <c r="DH90" s="1">
        <v>16</v>
      </c>
      <c r="DI90" s="2"/>
      <c r="DJ90" s="2"/>
      <c r="DK90" s="2"/>
      <c r="DM90" s="2">
        <v>2.1432430932613902E-2</v>
      </c>
    </row>
    <row r="91" spans="61:117" ht="16.5" x14ac:dyDescent="0.25">
      <c r="BN91" s="1">
        <v>18</v>
      </c>
      <c r="BO91" s="2"/>
      <c r="BP91" s="2"/>
      <c r="BQ91" s="6">
        <v>0.97403396219703398</v>
      </c>
      <c r="BS91" s="2">
        <v>0.84556461351047496</v>
      </c>
      <c r="BV91" s="1">
        <v>18</v>
      </c>
      <c r="BW91" s="2"/>
      <c r="BX91" s="2"/>
      <c r="BY91" s="6">
        <v>0.69300015706051099</v>
      </c>
      <c r="CA91" s="2">
        <v>0.83193635819711897</v>
      </c>
      <c r="CD91" s="1">
        <v>18</v>
      </c>
      <c r="CE91" s="2"/>
      <c r="CF91" s="2"/>
      <c r="CG91" s="6">
        <v>1.6754173427835599</v>
      </c>
      <c r="CI91" s="2">
        <v>0.86065931894387904</v>
      </c>
      <c r="CR91" s="1">
        <v>17</v>
      </c>
      <c r="CS91" s="2"/>
      <c r="CT91" s="2"/>
      <c r="CU91" s="2"/>
      <c r="CW91" s="2">
        <v>1.701749680692E-2</v>
      </c>
      <c r="CZ91" s="1">
        <v>17</v>
      </c>
      <c r="DA91" s="2"/>
      <c r="DB91" s="2"/>
      <c r="DC91" s="2"/>
      <c r="DE91" s="2">
        <v>1.8460315100017301E-2</v>
      </c>
      <c r="DH91" s="1">
        <v>17</v>
      </c>
      <c r="DI91" s="2"/>
      <c r="DJ91" s="2"/>
      <c r="DK91" s="2"/>
      <c r="DM91" s="2">
        <v>1.6803414510659202E-2</v>
      </c>
    </row>
    <row r="92" spans="61:117" ht="16.5" x14ac:dyDescent="0.25">
      <c r="BN92" s="1">
        <v>19</v>
      </c>
      <c r="BO92" s="2"/>
      <c r="BP92" s="2"/>
      <c r="BQ92" s="6">
        <v>0.97055560183325196</v>
      </c>
      <c r="BS92" s="2">
        <v>0.88115663350640205</v>
      </c>
      <c r="BV92" s="1">
        <v>19</v>
      </c>
      <c r="BW92" s="2"/>
      <c r="BX92" s="2"/>
      <c r="BY92" s="6">
        <v>0.69320030195972304</v>
      </c>
      <c r="CA92" s="2">
        <v>0.87755525129796497</v>
      </c>
      <c r="CD92" s="1">
        <v>19</v>
      </c>
      <c r="CE92" s="2"/>
      <c r="CF92" s="2"/>
      <c r="CG92" s="6">
        <v>1.6793152172755901</v>
      </c>
      <c r="CI92" s="2">
        <v>0.91651453272351002</v>
      </c>
      <c r="CR92" s="1">
        <v>18</v>
      </c>
      <c r="CS92" s="2"/>
      <c r="CT92" s="2"/>
      <c r="CU92" s="2"/>
      <c r="CW92" s="2">
        <v>2.1108436486428E-2</v>
      </c>
      <c r="CZ92" s="1">
        <v>18</v>
      </c>
      <c r="DA92" s="2"/>
      <c r="DB92" s="2"/>
      <c r="DC92" s="2"/>
      <c r="DE92" s="2">
        <v>2.0425347213573E-2</v>
      </c>
      <c r="DH92" s="1">
        <v>18</v>
      </c>
      <c r="DI92" s="2"/>
      <c r="DJ92" s="2"/>
      <c r="DK92" s="2"/>
      <c r="DM92" s="2">
        <v>2.12171268846017E-2</v>
      </c>
    </row>
    <row r="93" spans="61:117" ht="16.5" x14ac:dyDescent="0.25">
      <c r="BN93" s="1">
        <v>20</v>
      </c>
      <c r="BO93" s="2"/>
      <c r="BP93" s="2"/>
      <c r="BQ93" s="6">
        <v>0.96171612781188198</v>
      </c>
      <c r="BS93" s="2">
        <v>0.90121757922149104</v>
      </c>
      <c r="BV93" s="1">
        <v>20</v>
      </c>
      <c r="BW93" s="2"/>
      <c r="BX93" s="2"/>
      <c r="BY93" s="6">
        <v>0.69343851020422798</v>
      </c>
      <c r="CA93" s="2">
        <v>0.84951662720488696</v>
      </c>
      <c r="CD93" s="1">
        <v>20</v>
      </c>
      <c r="CE93" s="2"/>
      <c r="CF93" s="2"/>
      <c r="CG93" s="6">
        <v>1.6963229489890801</v>
      </c>
      <c r="CI93" s="2">
        <v>0.93030981187183004</v>
      </c>
      <c r="CR93" s="1">
        <v>19</v>
      </c>
      <c r="CS93" s="2"/>
      <c r="CT93" s="2"/>
      <c r="CU93" s="2"/>
      <c r="CW93" s="2">
        <v>2.0018729881415499E-2</v>
      </c>
      <c r="CZ93" s="1">
        <v>19</v>
      </c>
      <c r="DA93" s="2"/>
      <c r="DB93" s="2"/>
      <c r="DC93" s="2"/>
      <c r="DE93" s="2">
        <v>1.8788871094327E-2</v>
      </c>
      <c r="DH93" s="1">
        <v>19</v>
      </c>
      <c r="DI93" s="2"/>
      <c r="DJ93" s="2"/>
      <c r="DK93" s="2"/>
      <c r="DM93" s="2">
        <v>1.95617705646309E-2</v>
      </c>
    </row>
    <row r="94" spans="61:117" ht="16.5" x14ac:dyDescent="0.25">
      <c r="BN94" s="1">
        <v>21</v>
      </c>
      <c r="BO94" s="2"/>
      <c r="BP94" s="2"/>
      <c r="BQ94" s="6">
        <v>0.96958139595845205</v>
      </c>
      <c r="BS94" s="2">
        <v>0.84654870870473697</v>
      </c>
      <c r="BV94" s="1">
        <v>21</v>
      </c>
      <c r="BW94" s="2"/>
      <c r="BX94" s="2"/>
      <c r="BY94" s="6">
        <v>0.69296240389984898</v>
      </c>
      <c r="CA94" s="2">
        <v>0.85002393587842795</v>
      </c>
      <c r="CD94" s="1">
        <v>21</v>
      </c>
      <c r="CE94" s="2"/>
      <c r="CF94" s="2"/>
      <c r="CG94" s="6">
        <v>1.68139486967622</v>
      </c>
      <c r="CI94" s="2">
        <v>0.85978263957496504</v>
      </c>
      <c r="CR94" s="1">
        <v>20</v>
      </c>
      <c r="CS94" s="2"/>
      <c r="CT94" s="2"/>
      <c r="CU94" s="2"/>
      <c r="CW94" s="2">
        <v>1.8624753557986901E-2</v>
      </c>
      <c r="CZ94" s="1">
        <v>20</v>
      </c>
      <c r="DA94" s="2"/>
      <c r="DB94" s="2"/>
      <c r="DC94" s="2"/>
      <c r="DE94" s="2">
        <v>1.8443782947899699E-2</v>
      </c>
      <c r="DH94" s="1">
        <v>20</v>
      </c>
      <c r="DI94" s="2"/>
      <c r="DJ94" s="2"/>
      <c r="DK94" s="2"/>
      <c r="DM94" s="2">
        <v>2.01795743838632E-2</v>
      </c>
    </row>
    <row r="95" spans="61:117" ht="16.5" x14ac:dyDescent="0.25">
      <c r="BN95" s="1">
        <v>22</v>
      </c>
      <c r="BO95" s="2"/>
      <c r="BP95" s="2"/>
      <c r="BQ95" s="6">
        <v>0.95439266406481205</v>
      </c>
      <c r="BS95" s="2">
        <v>0.928891483599248</v>
      </c>
      <c r="BV95" s="1">
        <v>22</v>
      </c>
      <c r="BW95" s="2"/>
      <c r="BX95" s="2"/>
      <c r="BY95" s="6">
        <v>0.69289420444811001</v>
      </c>
      <c r="CA95" s="2">
        <v>0.86714554037682401</v>
      </c>
      <c r="CD95" s="1">
        <v>22</v>
      </c>
      <c r="CE95" s="2"/>
      <c r="CF95" s="2"/>
      <c r="CG95" s="6">
        <v>1.67103148320379</v>
      </c>
      <c r="CI95" s="2">
        <v>0.94766565649444401</v>
      </c>
      <c r="CR95" s="1">
        <v>21</v>
      </c>
      <c r="CS95" s="2"/>
      <c r="CT95" s="2"/>
      <c r="CU95" s="2"/>
      <c r="CW95" s="2">
        <v>1.9538001821755101E-2</v>
      </c>
      <c r="CZ95" s="1">
        <v>21</v>
      </c>
      <c r="DA95" s="2"/>
      <c r="DB95" s="2"/>
      <c r="DC95" s="2"/>
      <c r="DE95" s="2">
        <v>2.0340670139940599E-2</v>
      </c>
      <c r="DH95" s="1">
        <v>21</v>
      </c>
      <c r="DI95" s="2"/>
      <c r="DJ95" s="2"/>
      <c r="DK95" s="2"/>
      <c r="DM95" s="2">
        <v>2.0255410608712599E-2</v>
      </c>
    </row>
    <row r="96" spans="61:117" ht="16.5" x14ac:dyDescent="0.25">
      <c r="BN96" s="1">
        <v>23</v>
      </c>
      <c r="BO96" s="2"/>
      <c r="BP96" s="2"/>
      <c r="BQ96" s="6">
        <v>0.95973331781873505</v>
      </c>
      <c r="BS96" s="2">
        <v>0.87230605143122297</v>
      </c>
      <c r="BV96" s="1">
        <v>23</v>
      </c>
      <c r="BW96" s="2"/>
      <c r="BX96" s="2"/>
      <c r="BY96" s="6">
        <v>0.69335765753832701</v>
      </c>
      <c r="CA96" s="2">
        <v>0.83112511085086405</v>
      </c>
      <c r="CD96" s="1">
        <v>23</v>
      </c>
      <c r="CE96" s="2"/>
      <c r="CF96" s="2"/>
      <c r="CG96" s="6">
        <v>1.69141779591514</v>
      </c>
      <c r="CI96" s="2">
        <v>0.87667920621719098</v>
      </c>
      <c r="CR96" s="1">
        <v>22</v>
      </c>
      <c r="CS96" s="2"/>
      <c r="CT96" s="2"/>
      <c r="CU96" s="2"/>
      <c r="CW96" s="2">
        <v>1.83048775114775E-2</v>
      </c>
      <c r="CZ96" s="1">
        <v>22</v>
      </c>
      <c r="DA96" s="2"/>
      <c r="DB96" s="2"/>
      <c r="DC96" s="2"/>
      <c r="DE96" s="2">
        <v>1.8663955688374399E-2</v>
      </c>
      <c r="DH96" s="1">
        <v>22</v>
      </c>
      <c r="DI96" s="2"/>
      <c r="DJ96" s="2"/>
      <c r="DK96" s="2"/>
      <c r="DM96" s="2">
        <v>1.8828858680381699E-2</v>
      </c>
    </row>
    <row r="97" spans="66:118" ht="16.5" x14ac:dyDescent="0.25">
      <c r="BN97" s="1">
        <v>24</v>
      </c>
      <c r="BO97" s="2"/>
      <c r="BP97" s="2"/>
      <c r="BQ97" s="6">
        <v>0.94456558907664401</v>
      </c>
      <c r="BS97" s="2">
        <v>0.87142153257351496</v>
      </c>
      <c r="BV97" s="1">
        <v>24</v>
      </c>
      <c r="BW97" s="2"/>
      <c r="BX97" s="2"/>
      <c r="BY97" s="6">
        <v>0.69329923181564701</v>
      </c>
      <c r="CA97" s="2">
        <v>0.82800542993299397</v>
      </c>
      <c r="CD97" s="1">
        <v>24</v>
      </c>
      <c r="CE97" s="2"/>
      <c r="CF97" s="2"/>
      <c r="CG97" s="6">
        <v>1.6582721409422301</v>
      </c>
      <c r="CI97" s="2">
        <v>0.87633266300042001</v>
      </c>
      <c r="CR97" s="1">
        <v>23</v>
      </c>
      <c r="CS97" s="2"/>
      <c r="CT97" s="2"/>
      <c r="CU97" s="2"/>
      <c r="CW97" s="2">
        <v>1.74467676371848E-2</v>
      </c>
      <c r="CZ97" s="1">
        <v>23</v>
      </c>
      <c r="DA97" s="2"/>
      <c r="DB97" s="2"/>
      <c r="DC97" s="2"/>
      <c r="DE97" s="2">
        <v>1.80909856388832E-2</v>
      </c>
      <c r="DH97" s="1">
        <v>23</v>
      </c>
      <c r="DI97" s="2"/>
      <c r="DJ97" s="2"/>
      <c r="DK97" s="2"/>
      <c r="DM97" s="2">
        <v>1.8711040232787898E-2</v>
      </c>
    </row>
    <row r="98" spans="66:118" ht="16.5" x14ac:dyDescent="0.25">
      <c r="BN98" s="1">
        <v>25</v>
      </c>
      <c r="BO98" s="2"/>
      <c r="BP98" s="2"/>
      <c r="BQ98" s="6">
        <v>0.96372429700809403</v>
      </c>
      <c r="BS98" s="2">
        <v>0.86665128756801002</v>
      </c>
      <c r="BV98" s="1">
        <v>25</v>
      </c>
      <c r="BW98" s="2"/>
      <c r="BX98" s="2"/>
      <c r="BY98" s="6">
        <v>0.692978337547003</v>
      </c>
      <c r="CA98" s="2">
        <v>0.82497988855259896</v>
      </c>
      <c r="CD98" s="1">
        <v>25</v>
      </c>
      <c r="CE98" s="2"/>
      <c r="CF98" s="2"/>
      <c r="CG98" s="6">
        <v>1.6798990740913999</v>
      </c>
      <c r="CI98" s="2">
        <v>0.90864854231917402</v>
      </c>
      <c r="CR98" s="1">
        <v>24</v>
      </c>
      <c r="CS98" s="2"/>
      <c r="CT98" s="2"/>
      <c r="CU98" s="2"/>
      <c r="CW98" s="2">
        <v>2.39364112294344E-2</v>
      </c>
      <c r="CZ98" s="1">
        <v>24</v>
      </c>
      <c r="DA98" s="2"/>
      <c r="DB98" s="2"/>
      <c r="DC98" s="2"/>
      <c r="DE98" s="2">
        <v>2.2587059971094101E-2</v>
      </c>
      <c r="DH98" s="1">
        <v>24</v>
      </c>
      <c r="DI98" s="2"/>
      <c r="DJ98" s="2"/>
      <c r="DK98" s="2"/>
      <c r="DM98" s="2">
        <v>2.4250633670432301E-2</v>
      </c>
    </row>
    <row r="99" spans="66:118" ht="16.5" x14ac:dyDescent="0.25">
      <c r="BN99" s="1">
        <v>26</v>
      </c>
      <c r="BO99" s="2"/>
      <c r="BP99" s="2"/>
      <c r="BQ99" s="6">
        <v>0.98231161555514301</v>
      </c>
      <c r="BS99" s="2">
        <v>0.89911763132578004</v>
      </c>
      <c r="BV99" s="1">
        <v>26</v>
      </c>
      <c r="BW99" s="2"/>
      <c r="BX99" s="2"/>
      <c r="BY99" s="6">
        <v>0.69317429499598904</v>
      </c>
      <c r="CA99" s="2">
        <v>0.87450724100676502</v>
      </c>
      <c r="CD99" s="1">
        <v>26</v>
      </c>
      <c r="CE99" s="2"/>
      <c r="CF99" s="2"/>
      <c r="CG99" s="6">
        <v>1.6789548881752301</v>
      </c>
      <c r="CI99" s="2">
        <v>0.96944030049573404</v>
      </c>
      <c r="CR99" s="1">
        <v>25</v>
      </c>
      <c r="CS99" s="2"/>
      <c r="CT99" s="2"/>
      <c r="CU99" s="2"/>
      <c r="CW99" s="2">
        <v>1.6059916279375499E-2</v>
      </c>
      <c r="CZ99" s="1">
        <v>25</v>
      </c>
      <c r="DA99" s="2"/>
      <c r="DB99" s="2"/>
      <c r="DC99" s="2"/>
      <c r="DE99" s="2">
        <v>1.87545622546956E-2</v>
      </c>
      <c r="DH99" s="1">
        <v>25</v>
      </c>
      <c r="DI99" s="2"/>
      <c r="DJ99" s="2"/>
      <c r="DK99" s="2"/>
      <c r="DM99" s="2">
        <v>1.7985293601813401E-2</v>
      </c>
    </row>
    <row r="100" spans="66:118" ht="16.5" x14ac:dyDescent="0.25">
      <c r="BN100" s="1">
        <v>27</v>
      </c>
      <c r="BO100" s="2"/>
      <c r="BP100" s="2"/>
      <c r="BQ100" s="6">
        <v>0.96817450007303196</v>
      </c>
      <c r="BS100" s="2">
        <v>0.86791684468408503</v>
      </c>
      <c r="BV100" s="1">
        <v>27</v>
      </c>
      <c r="BW100" s="2"/>
      <c r="BX100" s="2"/>
      <c r="BY100" s="6">
        <v>0.69345621662568502</v>
      </c>
      <c r="CA100" s="2">
        <v>0.84047995614744997</v>
      </c>
      <c r="CD100" s="1">
        <v>27</v>
      </c>
      <c r="CE100" s="2"/>
      <c r="CF100" s="2"/>
      <c r="CG100" s="6">
        <v>1.7186728053328899</v>
      </c>
      <c r="CI100" s="2">
        <v>0.87253261238442303</v>
      </c>
      <c r="CR100" s="1">
        <v>26</v>
      </c>
      <c r="CS100" s="2"/>
      <c r="CT100" s="2"/>
      <c r="CU100" s="2"/>
      <c r="CW100" s="2">
        <v>1.81044032154557E-2</v>
      </c>
      <c r="CZ100" s="1">
        <v>26</v>
      </c>
      <c r="DA100" s="2"/>
      <c r="DB100" s="2"/>
      <c r="DC100" s="2"/>
      <c r="DE100" s="2">
        <v>2.0232725393283899E-2</v>
      </c>
      <c r="DH100" s="1">
        <v>26</v>
      </c>
      <c r="DI100" s="2"/>
      <c r="DJ100" s="2"/>
      <c r="DK100" s="2"/>
      <c r="DM100" s="2">
        <v>1.8381893534240201E-2</v>
      </c>
    </row>
    <row r="101" spans="66:118" ht="16.5" x14ac:dyDescent="0.25">
      <c r="BN101" s="1">
        <v>28</v>
      </c>
      <c r="BO101" s="2"/>
      <c r="BP101" s="2"/>
      <c r="BQ101" s="6">
        <v>0.96024752326186702</v>
      </c>
      <c r="BS101" s="2">
        <v>0.918369857550557</v>
      </c>
      <c r="BV101" s="1">
        <v>28</v>
      </c>
      <c r="BW101" s="2"/>
      <c r="BX101" s="2"/>
      <c r="BY101" s="6">
        <v>0.69305729167769403</v>
      </c>
      <c r="CA101" s="2">
        <v>0.85128784495143595</v>
      </c>
      <c r="CD101" s="1">
        <v>28</v>
      </c>
      <c r="CE101" s="2"/>
      <c r="CF101" s="2"/>
      <c r="CG101" s="6">
        <v>1.6994267669793499</v>
      </c>
      <c r="CI101" s="2">
        <v>0.91692776658512898</v>
      </c>
      <c r="CR101" s="1">
        <v>27</v>
      </c>
      <c r="CS101" s="2"/>
      <c r="CT101" s="2"/>
      <c r="CU101" s="2"/>
      <c r="CW101" s="2">
        <v>1.6455170519938001E-2</v>
      </c>
      <c r="CZ101" s="1">
        <v>27</v>
      </c>
      <c r="DA101" s="2"/>
      <c r="DB101" s="2"/>
      <c r="DC101" s="2"/>
      <c r="DE101" s="2">
        <v>2.0111117507377801E-2</v>
      </c>
      <c r="DH101" s="1">
        <v>27</v>
      </c>
      <c r="DI101" s="2"/>
      <c r="DJ101" s="2"/>
      <c r="DK101" s="2"/>
      <c r="DM101" s="2">
        <v>1.7435449901809001E-2</v>
      </c>
    </row>
    <row r="102" spans="66:118" ht="16.5" x14ac:dyDescent="0.25">
      <c r="BN102" s="1">
        <v>29</v>
      </c>
      <c r="BO102" s="2"/>
      <c r="BP102" s="2"/>
      <c r="BQ102" s="6">
        <v>0.95775258699313004</v>
      </c>
      <c r="BS102" s="2">
        <v>0.88395218615417503</v>
      </c>
      <c r="BV102" s="1">
        <v>29</v>
      </c>
      <c r="BW102" s="2"/>
      <c r="BX102" s="2"/>
      <c r="BY102" s="6">
        <v>0.69350138786131599</v>
      </c>
      <c r="CA102" s="2">
        <v>0.85753564053753495</v>
      </c>
      <c r="CD102" s="1">
        <v>29</v>
      </c>
      <c r="CE102" s="2"/>
      <c r="CF102" s="2"/>
      <c r="CG102" s="6">
        <v>1.6851094691038599</v>
      </c>
      <c r="CI102" s="2">
        <v>0.90315340895760698</v>
      </c>
      <c r="CR102" s="1">
        <v>28</v>
      </c>
      <c r="CS102" s="2"/>
      <c r="CT102" s="2"/>
      <c r="CU102" s="2"/>
      <c r="CW102" s="2">
        <v>1.7969337922177302E-2</v>
      </c>
      <c r="CZ102" s="1">
        <v>28</v>
      </c>
      <c r="DA102" s="2"/>
      <c r="DB102" s="2"/>
      <c r="DC102" s="2"/>
      <c r="DE102" s="2">
        <v>1.9204676001274599E-2</v>
      </c>
      <c r="DH102" s="1">
        <v>28</v>
      </c>
      <c r="DI102" s="2"/>
      <c r="DJ102" s="2"/>
      <c r="DK102" s="2"/>
      <c r="DM102" s="2">
        <v>2.01992664606368E-2</v>
      </c>
    </row>
    <row r="103" spans="66:118" ht="16.5" x14ac:dyDescent="0.25">
      <c r="BN103" s="1">
        <v>30</v>
      </c>
      <c r="BO103" s="2"/>
      <c r="BP103" s="2"/>
      <c r="BQ103" s="6">
        <v>0.94836067833419702</v>
      </c>
      <c r="BS103" s="2">
        <v>0.89075756321697297</v>
      </c>
      <c r="BV103" s="1">
        <v>30</v>
      </c>
      <c r="BW103" s="2"/>
      <c r="BX103" s="2"/>
      <c r="BY103" s="6">
        <v>0.69337028492759101</v>
      </c>
      <c r="CA103" s="2">
        <v>0.90197480199772095</v>
      </c>
      <c r="CD103" s="1">
        <v>30</v>
      </c>
      <c r="CE103" s="2"/>
      <c r="CF103" s="2"/>
      <c r="CG103" s="6">
        <v>1.6721188806446301</v>
      </c>
      <c r="CI103" s="2">
        <v>0.88091915483801098</v>
      </c>
      <c r="CR103" s="1">
        <v>29</v>
      </c>
      <c r="CS103" s="2"/>
      <c r="CT103" s="2"/>
      <c r="CU103" s="2"/>
      <c r="CW103" s="2">
        <v>1.65747428432261E-2</v>
      </c>
      <c r="CZ103" s="1">
        <v>29</v>
      </c>
      <c r="DA103" s="2"/>
      <c r="DB103" s="2"/>
      <c r="DC103" s="2"/>
      <c r="DE103" s="2">
        <v>1.8041296498926301E-2</v>
      </c>
      <c r="DH103" s="1">
        <v>29</v>
      </c>
      <c r="DI103" s="2"/>
      <c r="DJ103" s="2"/>
      <c r="DK103" s="2"/>
      <c r="DM103" s="2">
        <v>1.8047475613663998E-2</v>
      </c>
    </row>
    <row r="104" spans="66:118" x14ac:dyDescent="0.25">
      <c r="BN104" s="1" t="s">
        <v>18</v>
      </c>
      <c r="BO104" s="1" t="e">
        <f>AVERAGE(BO74:BO103)</f>
        <v>#DIV/0!</v>
      </c>
      <c r="BP104" s="1">
        <f t="shared" ref="BP104:BT104" si="74">AVERAGE(BP74:BP103)</f>
        <v>0.95800591054733231</v>
      </c>
      <c r="BQ104" s="1">
        <f t="shared" si="74"/>
        <v>0.96592289081279892</v>
      </c>
      <c r="BR104" s="1">
        <f t="shared" si="74"/>
        <v>1.070254</v>
      </c>
      <c r="BS104" s="1">
        <f t="shared" si="74"/>
        <v>0.89098835941439247</v>
      </c>
      <c r="BT104" s="1" t="e">
        <f t="shared" si="74"/>
        <v>#DIV/0!</v>
      </c>
      <c r="BU104" s="1"/>
      <c r="BV104" s="1" t="s">
        <v>18</v>
      </c>
      <c r="BW104" s="1" t="e">
        <f>AVERAGE(BW74:BW103)</f>
        <v>#DIV/0!</v>
      </c>
      <c r="BX104" s="1">
        <f t="shared" ref="BX104:CB104" si="75">AVERAGE(BX74:BX103)</f>
        <v>0.69311668709662233</v>
      </c>
      <c r="BY104" s="1">
        <f t="shared" si="75"/>
        <v>0.69323874435968735</v>
      </c>
      <c r="BZ104" s="1">
        <f t="shared" si="75"/>
        <v>0.69350999999999996</v>
      </c>
      <c r="CA104" s="1">
        <f t="shared" si="75"/>
        <v>0.85274776470064628</v>
      </c>
      <c r="CB104" s="1" t="e">
        <f t="shared" si="75"/>
        <v>#DIV/0!</v>
      </c>
      <c r="CC104" s="1"/>
      <c r="CD104" s="1" t="s">
        <v>18</v>
      </c>
      <c r="CE104" s="1" t="e">
        <f>AVERAGE(CE74:CE103)</f>
        <v>#DIV/0!</v>
      </c>
      <c r="CF104" s="1">
        <f t="shared" ref="CF104:CJ104" si="76">AVERAGE(CF74:CF103)</f>
        <v>1.073508541465932</v>
      </c>
      <c r="CG104" s="1">
        <f t="shared" si="76"/>
        <v>1.6895244727879992</v>
      </c>
      <c r="CH104" s="1">
        <f t="shared" si="76"/>
        <v>1.4625349999999999</v>
      </c>
      <c r="CI104" s="1">
        <f t="shared" si="76"/>
        <v>0.91000583366476617</v>
      </c>
      <c r="CJ104" s="1" t="e">
        <f t="shared" si="76"/>
        <v>#DIV/0!</v>
      </c>
      <c r="CS104" s="2"/>
      <c r="CT104" s="2"/>
      <c r="CU104" s="2"/>
      <c r="CW104" s="2">
        <v>1.84356305760775E-2</v>
      </c>
      <c r="CZ104" s="1">
        <v>30</v>
      </c>
      <c r="DA104" s="2"/>
      <c r="DB104" s="2"/>
      <c r="DC104" s="2"/>
      <c r="DE104" s="2">
        <v>1.8916240777464201E-2</v>
      </c>
      <c r="DH104" s="1">
        <v>30</v>
      </c>
      <c r="DI104" s="2"/>
      <c r="DJ104" s="2"/>
      <c r="DK104" s="2"/>
      <c r="DM104" s="2">
        <v>1.9411910992978901E-2</v>
      </c>
    </row>
    <row r="105" spans="66:118" x14ac:dyDescent="0.25">
      <c r="BN105" t="s">
        <v>21</v>
      </c>
      <c r="BO105">
        <f>MIN(BO74:BO103)</f>
        <v>0</v>
      </c>
      <c r="BP105">
        <f t="shared" ref="BP105:BT105" si="77">MIN(BP74:BP103)</f>
        <v>0.93693434702523304</v>
      </c>
      <c r="BQ105">
        <f t="shared" si="77"/>
        <v>0.94456558907664401</v>
      </c>
      <c r="BR105">
        <f t="shared" si="77"/>
        <v>1.070254</v>
      </c>
      <c r="BS105">
        <f t="shared" si="77"/>
        <v>0.83794417219999595</v>
      </c>
      <c r="BT105">
        <f t="shared" si="77"/>
        <v>0</v>
      </c>
      <c r="BV105" t="s">
        <v>21</v>
      </c>
      <c r="BW105">
        <f>MIN(BW74:BW103)</f>
        <v>0</v>
      </c>
      <c r="BX105">
        <f t="shared" ref="BX105:CB105" si="78">MIN(BX74:BX103)</f>
        <v>0.69299511459335295</v>
      </c>
      <c r="BY105">
        <f t="shared" si="78"/>
        <v>0.69289420444811001</v>
      </c>
      <c r="BZ105">
        <f t="shared" si="78"/>
        <v>0.69350999999999996</v>
      </c>
      <c r="CA105">
        <f t="shared" si="78"/>
        <v>0.81270507835309502</v>
      </c>
      <c r="CB105">
        <f t="shared" si="78"/>
        <v>0</v>
      </c>
      <c r="CD105" t="s">
        <v>21</v>
      </c>
      <c r="CE105">
        <f>MIN(CE74:CE103)</f>
        <v>0</v>
      </c>
      <c r="CF105">
        <f t="shared" ref="CF105:CJ105" si="79">MIN(CF74:CF103)</f>
        <v>1.0444093487439501</v>
      </c>
      <c r="CG105">
        <f t="shared" si="79"/>
        <v>1.6515736139230801</v>
      </c>
      <c r="CH105">
        <f t="shared" si="79"/>
        <v>1.4625349999999999</v>
      </c>
      <c r="CI105">
        <f t="shared" si="79"/>
        <v>0.849186822376506</v>
      </c>
      <c r="CJ105">
        <f t="shared" si="79"/>
        <v>0</v>
      </c>
      <c r="CR105" s="1" t="s">
        <v>18</v>
      </c>
      <c r="CS105" s="1">
        <f>AVERAGE(CS75:CS104)</f>
        <v>2.7675804243115E-3</v>
      </c>
      <c r="CT105" s="1">
        <f t="shared" ref="CT105:CX105" si="80">AVERAGE(CT75:CT104)</f>
        <v>1.3232723196345999E-3</v>
      </c>
      <c r="CU105" s="1">
        <f t="shared" si="80"/>
        <v>7.70655345681482E-4</v>
      </c>
      <c r="CV105" s="1">
        <f t="shared" si="80"/>
        <v>1.94E-4</v>
      </c>
      <c r="CW105" s="1">
        <f t="shared" si="80"/>
        <v>1.8515128104583414E-2</v>
      </c>
      <c r="CX105" s="1" t="e">
        <f t="shared" si="80"/>
        <v>#DIV/0!</v>
      </c>
      <c r="CY105" s="1"/>
      <c r="CZ105" s="1" t="s">
        <v>18</v>
      </c>
      <c r="DA105" s="1" t="e">
        <f>AVERAGE(DA75:DA104)</f>
        <v>#DIV/0!</v>
      </c>
      <c r="DB105" s="1" t="e">
        <f t="shared" ref="DB105:DF105" si="81">AVERAGE(DB75:DB104)</f>
        <v>#DIV/0!</v>
      </c>
      <c r="DC105" s="1" t="e">
        <f t="shared" si="81"/>
        <v>#DIV/0!</v>
      </c>
      <c r="DD105" s="1">
        <f t="shared" si="81"/>
        <v>1.4860999999999999E-2</v>
      </c>
      <c r="DE105" s="1">
        <f t="shared" si="81"/>
        <v>1.9620068311920074E-2</v>
      </c>
      <c r="DF105" s="1" t="e">
        <f t="shared" si="81"/>
        <v>#DIV/0!</v>
      </c>
      <c r="DG105" s="1"/>
      <c r="DH105" s="1" t="s">
        <v>18</v>
      </c>
      <c r="DI105" s="1" t="e">
        <f>AVERAGE(DI75:DI104)</f>
        <v>#DIV/0!</v>
      </c>
      <c r="DJ105" s="1" t="e">
        <f t="shared" ref="DJ105:DN105" si="82">AVERAGE(DJ75:DJ104)</f>
        <v>#DIV/0!</v>
      </c>
      <c r="DK105" s="1" t="e">
        <f t="shared" si="82"/>
        <v>#DIV/0!</v>
      </c>
      <c r="DL105" s="1">
        <f t="shared" si="82"/>
        <v>5.3568459999999999E-14</v>
      </c>
      <c r="DM105" s="1">
        <f t="shared" si="82"/>
        <v>1.9242243246220189E-2</v>
      </c>
      <c r="DN105" s="1" t="e">
        <f t="shared" si="82"/>
        <v>#DIV/0!</v>
      </c>
    </row>
    <row r="106" spans="66:118" x14ac:dyDescent="0.25">
      <c r="BN106" t="s">
        <v>22</v>
      </c>
      <c r="BO106">
        <f>MAX(BO74:BO103)</f>
        <v>0</v>
      </c>
      <c r="BP106">
        <f t="shared" ref="BP106:BT106" si="83">MAX(BP74:BP103)</f>
        <v>1.0000399067269199</v>
      </c>
      <c r="BQ106">
        <f t="shared" si="83"/>
        <v>0.98231161555514301</v>
      </c>
      <c r="BR106">
        <f t="shared" si="83"/>
        <v>1.070254</v>
      </c>
      <c r="BS106">
        <f t="shared" si="83"/>
        <v>0.98592877618261499</v>
      </c>
      <c r="BT106">
        <f t="shared" si="83"/>
        <v>0</v>
      </c>
      <c r="BV106" t="s">
        <v>22</v>
      </c>
      <c r="BW106">
        <f>MAX(BW74:BW103)</f>
        <v>0</v>
      </c>
      <c r="BX106">
        <f t="shared" ref="BX106:CB106" si="84">MAX(BX74:BX103)</f>
        <v>0.693290978333713</v>
      </c>
      <c r="BY106">
        <f t="shared" si="84"/>
        <v>0.69359310923298401</v>
      </c>
      <c r="BZ106">
        <f t="shared" si="84"/>
        <v>0.69350999999999996</v>
      </c>
      <c r="CA106">
        <f t="shared" si="84"/>
        <v>0.91123232686984401</v>
      </c>
      <c r="CB106">
        <f t="shared" si="84"/>
        <v>0</v>
      </c>
      <c r="CD106" t="s">
        <v>22</v>
      </c>
      <c r="CE106">
        <f>MAX(CE74:CE103)</f>
        <v>0</v>
      </c>
      <c r="CF106">
        <f t="shared" ref="CF106:CJ106" si="85">MAX(CF74:CF103)</f>
        <v>1.1387585772251001</v>
      </c>
      <c r="CG106">
        <f t="shared" si="85"/>
        <v>1.74046018885104</v>
      </c>
      <c r="CH106">
        <f t="shared" si="85"/>
        <v>1.4625349999999999</v>
      </c>
      <c r="CI106">
        <f t="shared" si="85"/>
        <v>1.0051575863065501</v>
      </c>
      <c r="CJ106">
        <f t="shared" si="85"/>
        <v>0</v>
      </c>
      <c r="CR106" t="s">
        <v>21</v>
      </c>
      <c r="CS106">
        <f>MIN(CS75:CS104)</f>
        <v>2.7675804243115E-3</v>
      </c>
      <c r="CT106">
        <f t="shared" ref="CT106:CX106" si="86">MIN(CT75:CT104)</f>
        <v>1.3232723196345999E-3</v>
      </c>
      <c r="CU106">
        <f t="shared" si="86"/>
        <v>7.70655345681482E-4</v>
      </c>
      <c r="CV106">
        <f t="shared" si="86"/>
        <v>1.94E-4</v>
      </c>
      <c r="CW106">
        <f t="shared" si="86"/>
        <v>1.5669047579218099E-2</v>
      </c>
      <c r="CX106">
        <f t="shared" si="86"/>
        <v>0</v>
      </c>
      <c r="CZ106" t="s">
        <v>21</v>
      </c>
      <c r="DA106">
        <f>MIN(DA75:DA104)</f>
        <v>0</v>
      </c>
      <c r="DB106">
        <f t="shared" ref="DB106:DF106" si="87">MIN(DB75:DB104)</f>
        <v>0</v>
      </c>
      <c r="DC106">
        <f t="shared" si="87"/>
        <v>0</v>
      </c>
      <c r="DD106">
        <f t="shared" si="87"/>
        <v>1.4860999999999999E-2</v>
      </c>
      <c r="DE106">
        <f t="shared" si="87"/>
        <v>1.8041296498926301E-2</v>
      </c>
      <c r="DF106">
        <f t="shared" si="87"/>
        <v>0</v>
      </c>
      <c r="DH106" t="s">
        <v>21</v>
      </c>
      <c r="DI106">
        <f>MIN(DI75:DI104)</f>
        <v>0</v>
      </c>
      <c r="DJ106">
        <f t="shared" ref="DJ106:DN106" si="88">MIN(DJ75:DJ104)</f>
        <v>0</v>
      </c>
      <c r="DK106">
        <f t="shared" si="88"/>
        <v>0</v>
      </c>
      <c r="DL106">
        <f t="shared" si="88"/>
        <v>5.3568459999999999E-14</v>
      </c>
      <c r="DM106">
        <f t="shared" si="88"/>
        <v>1.6687393338747001E-2</v>
      </c>
      <c r="DN106">
        <f t="shared" si="88"/>
        <v>0</v>
      </c>
    </row>
    <row r="107" spans="66:118" x14ac:dyDescent="0.25">
      <c r="BN107" s="1" t="s">
        <v>27</v>
      </c>
      <c r="BO107" t="e">
        <f>VAR(BO74:BO103)</f>
        <v>#DIV/0!</v>
      </c>
      <c r="BP107">
        <f t="shared" ref="BP107:BT107" si="89">VAR(BP74:BP103)</f>
        <v>4.245611551615396E-4</v>
      </c>
      <c r="BQ107">
        <f t="shared" si="89"/>
        <v>9.8834456137906007E-5</v>
      </c>
      <c r="BR107" t="e">
        <f t="shared" si="89"/>
        <v>#DIV/0!</v>
      </c>
      <c r="BS107">
        <f t="shared" si="89"/>
        <v>1.0955889396560346E-3</v>
      </c>
      <c r="BT107" t="e">
        <f t="shared" si="89"/>
        <v>#DIV/0!</v>
      </c>
      <c r="BV107" s="1" t="s">
        <v>27</v>
      </c>
      <c r="BW107" t="e">
        <f>VAR(BW74:BW103)</f>
        <v>#DIV/0!</v>
      </c>
      <c r="BX107">
        <f t="shared" ref="BX107:CB107" si="90">VAR(BX74:BX103)</f>
        <v>1.2730485784697668E-8</v>
      </c>
      <c r="BY107">
        <f t="shared" si="90"/>
        <v>3.9171959298455088E-8</v>
      </c>
      <c r="BZ107" t="e">
        <f t="shared" si="90"/>
        <v>#DIV/0!</v>
      </c>
      <c r="CA107">
        <f t="shared" si="90"/>
        <v>6.0573690924408774E-4</v>
      </c>
      <c r="CB107" t="e">
        <f t="shared" si="90"/>
        <v>#DIV/0!</v>
      </c>
      <c r="CD107" s="1" t="s">
        <v>27</v>
      </c>
      <c r="CE107" t="e">
        <f>VAR(CE74:CE103)</f>
        <v>#DIV/0!</v>
      </c>
      <c r="CF107">
        <f t="shared" ref="CF107:CJ107" si="91">VAR(CF74:CF103)</f>
        <v>7.9289699136618518E-4</v>
      </c>
      <c r="CG107">
        <f t="shared" si="91"/>
        <v>4.2087818353156729E-4</v>
      </c>
      <c r="CH107" t="e">
        <f t="shared" si="91"/>
        <v>#DIV/0!</v>
      </c>
      <c r="CI107">
        <f t="shared" si="91"/>
        <v>1.5246862488603042E-3</v>
      </c>
      <c r="CJ107" t="e">
        <f t="shared" si="91"/>
        <v>#DIV/0!</v>
      </c>
      <c r="CR107" t="s">
        <v>22</v>
      </c>
      <c r="CS107">
        <f>MAX(CS75:CS104)</f>
        <v>2.7675804243115E-3</v>
      </c>
      <c r="CT107">
        <f t="shared" ref="CT107:CX107" si="92">MAX(CT75:CT104)</f>
        <v>1.3232723196345999E-3</v>
      </c>
      <c r="CU107">
        <f t="shared" si="92"/>
        <v>7.70655345681482E-4</v>
      </c>
      <c r="CV107">
        <f t="shared" si="92"/>
        <v>1.94E-4</v>
      </c>
      <c r="CW107">
        <f t="shared" si="92"/>
        <v>2.39364112294344E-2</v>
      </c>
      <c r="CX107">
        <f t="shared" si="92"/>
        <v>0</v>
      </c>
      <c r="CZ107" t="s">
        <v>22</v>
      </c>
      <c r="DA107">
        <f>MAX(DA75:DA104)</f>
        <v>0</v>
      </c>
      <c r="DB107">
        <f t="shared" ref="DB107:DF107" si="93">MAX(DB75:DB104)</f>
        <v>0</v>
      </c>
      <c r="DC107">
        <f t="shared" si="93"/>
        <v>0</v>
      </c>
      <c r="DD107">
        <f t="shared" si="93"/>
        <v>1.4860999999999999E-2</v>
      </c>
      <c r="DE107">
        <f t="shared" si="93"/>
        <v>2.2587059971094101E-2</v>
      </c>
      <c r="DF107">
        <f t="shared" si="93"/>
        <v>0</v>
      </c>
      <c r="DH107" t="s">
        <v>22</v>
      </c>
      <c r="DI107">
        <f>MAX(DI75:DI104)</f>
        <v>0</v>
      </c>
      <c r="DJ107">
        <f t="shared" ref="DJ107:DN107" si="94">MAX(DJ75:DJ104)</f>
        <v>0</v>
      </c>
      <c r="DK107">
        <f t="shared" si="94"/>
        <v>0</v>
      </c>
      <c r="DL107">
        <f t="shared" si="94"/>
        <v>5.3568459999999999E-14</v>
      </c>
      <c r="DM107">
        <f t="shared" si="94"/>
        <v>2.4250633670432301E-2</v>
      </c>
      <c r="DN107">
        <f t="shared" si="94"/>
        <v>0</v>
      </c>
    </row>
    <row r="108" spans="66:118" x14ac:dyDescent="0.25">
      <c r="CS108" t="e">
        <f>VAR(CS75:CS104)</f>
        <v>#DIV/0!</v>
      </c>
      <c r="CT108" t="e">
        <f t="shared" ref="CT108:CX108" si="95">VAR(CT75:CT104)</f>
        <v>#DIV/0!</v>
      </c>
      <c r="CU108" t="e">
        <f t="shared" si="95"/>
        <v>#DIV/0!</v>
      </c>
      <c r="CV108" t="e">
        <f t="shared" si="95"/>
        <v>#DIV/0!</v>
      </c>
      <c r="CW108">
        <f t="shared" si="95"/>
        <v>3.8233782309367029E-6</v>
      </c>
      <c r="CX108" t="e">
        <f t="shared" si="95"/>
        <v>#DIV/0!</v>
      </c>
      <c r="DA108" t="e">
        <f>VAR(DA75:DA104)</f>
        <v>#DIV/0!</v>
      </c>
      <c r="DB108" t="e">
        <f t="shared" ref="DB108:DF108" si="96">VAR(DB75:DB104)</f>
        <v>#DIV/0!</v>
      </c>
      <c r="DC108" t="e">
        <f t="shared" si="96"/>
        <v>#DIV/0!</v>
      </c>
      <c r="DD108" t="e">
        <f t="shared" si="96"/>
        <v>#DIV/0!</v>
      </c>
      <c r="DE108">
        <f t="shared" si="96"/>
        <v>1.2968434539157127E-6</v>
      </c>
      <c r="DF108" t="e">
        <f t="shared" si="96"/>
        <v>#DIV/0!</v>
      </c>
      <c r="DI108" t="e">
        <f>VAR(DI75:DI104)</f>
        <v>#DIV/0!</v>
      </c>
      <c r="DJ108" t="e">
        <f t="shared" ref="DJ108:DN108" si="97">VAR(DJ75:DJ104)</f>
        <v>#DIV/0!</v>
      </c>
      <c r="DK108" t="e">
        <f t="shared" si="97"/>
        <v>#DIV/0!</v>
      </c>
      <c r="DL108" t="e">
        <f t="shared" si="97"/>
        <v>#DIV/0!</v>
      </c>
      <c r="DM108">
        <f t="shared" si="97"/>
        <v>3.5057008286755839E-6</v>
      </c>
      <c r="DN108" t="e">
        <f t="shared" si="97"/>
        <v>#DIV/0!</v>
      </c>
    </row>
  </sheetData>
  <phoneticPr fontId="1" type="noConversion"/>
  <conditionalFormatting sqref="G4:G7 G9:G33">
    <cfRule type="top10" dxfId="231" priority="294" bottom="1" rank="1"/>
    <cfRule type="top10" dxfId="230" priority="295" rank="1"/>
  </conditionalFormatting>
  <conditionalFormatting sqref="G34:L34">
    <cfRule type="top10" dxfId="229" priority="289" bottom="1" rank="1"/>
  </conditionalFormatting>
  <conditionalFormatting sqref="G35:L35">
    <cfRule type="top10" dxfId="228" priority="272" bottom="1" rank="1"/>
  </conditionalFormatting>
  <conditionalFormatting sqref="G36:L36">
    <cfRule type="top10" dxfId="227" priority="271" bottom="1" rank="1"/>
  </conditionalFormatting>
  <conditionalFormatting sqref="H4:H33">
    <cfRule type="top10" dxfId="226" priority="292" bottom="1" rank="1"/>
    <cfRule type="top10" dxfId="225" priority="293" rank="1"/>
  </conditionalFormatting>
  <conditionalFormatting sqref="H46">
    <cfRule type="top10" dxfId="224" priority="105" bottom="1" rank="1"/>
    <cfRule type="top10" dxfId="223" priority="106" rank="1"/>
  </conditionalFormatting>
  <conditionalFormatting sqref="I4:I33">
    <cfRule type="top10" dxfId="222" priority="290" bottom="1" rank="1"/>
    <cfRule type="top10" dxfId="221" priority="291" rank="1"/>
  </conditionalFormatting>
  <conditionalFormatting sqref="K4:K33">
    <cfRule type="top10" dxfId="220" priority="156" bottom="1" rank="1"/>
    <cfRule type="top10" dxfId="219" priority="157" rank="1"/>
  </conditionalFormatting>
  <conditionalFormatting sqref="O4:O7 O9:O33">
    <cfRule type="top10" dxfId="218" priority="287" bottom="1" rank="1"/>
    <cfRule type="top10" dxfId="217" priority="288" rank="1"/>
  </conditionalFormatting>
  <conditionalFormatting sqref="O34:T34">
    <cfRule type="top10" dxfId="216" priority="282" bottom="1" rank="1"/>
  </conditionalFormatting>
  <conditionalFormatting sqref="O35:T35">
    <cfRule type="top10" dxfId="215" priority="270" bottom="1" rank="1"/>
  </conditionalFormatting>
  <conditionalFormatting sqref="O36:T36">
    <cfRule type="top10" dxfId="214" priority="269" bottom="1" rank="1"/>
  </conditionalFormatting>
  <conditionalFormatting sqref="P4:P33">
    <cfRule type="top10" dxfId="213" priority="285" bottom="1" rank="1"/>
    <cfRule type="top10" dxfId="212" priority="286" rank="1"/>
  </conditionalFormatting>
  <conditionalFormatting sqref="P46">
    <cfRule type="top10" dxfId="211" priority="103" bottom="1" rank="1"/>
    <cfRule type="top10" dxfId="210" priority="104" rank="1"/>
  </conditionalFormatting>
  <conditionalFormatting sqref="Q4:Q33">
    <cfRule type="top10" dxfId="209" priority="283" bottom="1" rank="1"/>
    <cfRule type="top10" dxfId="208" priority="284" rank="1"/>
  </conditionalFormatting>
  <conditionalFormatting sqref="S4:S33">
    <cfRule type="top10" dxfId="207" priority="154" bottom="1" rank="1"/>
    <cfRule type="top10" dxfId="206" priority="155" rank="1"/>
  </conditionalFormatting>
  <conditionalFormatting sqref="W4:W33">
    <cfRule type="top10" dxfId="205" priority="280" bottom="1" rank="1"/>
    <cfRule type="top10" dxfId="204" priority="281" rank="1"/>
  </conditionalFormatting>
  <conditionalFormatting sqref="W34:AB34">
    <cfRule type="top10" dxfId="203" priority="273" bottom="1" rank="1"/>
  </conditionalFormatting>
  <conditionalFormatting sqref="W35:AB35">
    <cfRule type="top10" dxfId="202" priority="268" bottom="1" rank="1"/>
  </conditionalFormatting>
  <conditionalFormatting sqref="W36:AB36">
    <cfRule type="top10" dxfId="201" priority="267" bottom="1" rank="1"/>
  </conditionalFormatting>
  <conditionalFormatting sqref="X4:X33">
    <cfRule type="top10" dxfId="200" priority="278" bottom="1" rank="1"/>
    <cfRule type="top10" dxfId="199" priority="279" rank="1"/>
  </conditionalFormatting>
  <conditionalFormatting sqref="X46">
    <cfRule type="top10" dxfId="198" priority="101" bottom="1" rank="1"/>
    <cfRule type="top10" dxfId="197" priority="102" rank="1"/>
  </conditionalFormatting>
  <conditionalFormatting sqref="Y4:Y33">
    <cfRule type="top10" dxfId="196" priority="276" bottom="1" rank="1"/>
    <cfRule type="top10" dxfId="195" priority="277" rank="1"/>
  </conditionalFormatting>
  <conditionalFormatting sqref="AA4:AA33">
    <cfRule type="top10" dxfId="194" priority="152" bottom="1" rank="1"/>
    <cfRule type="top10" dxfId="193" priority="153" rank="1"/>
  </conditionalFormatting>
  <conditionalFormatting sqref="AK4:AK33">
    <cfRule type="top10" dxfId="192" priority="265" bottom="1" rank="1"/>
    <cfRule type="top10" dxfId="191" priority="266" rank="1"/>
  </conditionalFormatting>
  <conditionalFormatting sqref="AK34:AP34">
    <cfRule type="top10" dxfId="190" priority="260" bottom="1" rank="1"/>
  </conditionalFormatting>
  <conditionalFormatting sqref="AK35:AP35">
    <cfRule type="top10" dxfId="189" priority="243" bottom="1" rank="1"/>
  </conditionalFormatting>
  <conditionalFormatting sqref="AK36:AP36">
    <cfRule type="top10" dxfId="188" priority="242" bottom="1" rank="1"/>
  </conditionalFormatting>
  <conditionalFormatting sqref="AL4:AL33">
    <cfRule type="top10" dxfId="187" priority="263" bottom="1" rank="1"/>
    <cfRule type="top10" dxfId="186" priority="264" rank="1"/>
  </conditionalFormatting>
  <conditionalFormatting sqref="AM4:AM33">
    <cfRule type="top10" dxfId="185" priority="261" bottom="1" rank="1"/>
    <cfRule type="top10" dxfId="184" priority="262" rank="1"/>
  </conditionalFormatting>
  <conditionalFormatting sqref="AO4:AO33">
    <cfRule type="top10" dxfId="183" priority="150" bottom="1" rank="1"/>
    <cfRule type="top10" dxfId="182" priority="151" rank="1"/>
  </conditionalFormatting>
  <conditionalFormatting sqref="AS4:AS33">
    <cfRule type="top10" dxfId="181" priority="258" bottom="1" rank="1"/>
    <cfRule type="top10" dxfId="180" priority="259" rank="1"/>
  </conditionalFormatting>
  <conditionalFormatting sqref="AS34:AX34">
    <cfRule type="top10" dxfId="179" priority="253" bottom="1" rank="1"/>
  </conditionalFormatting>
  <conditionalFormatting sqref="AS35:AX35">
    <cfRule type="top10" dxfId="178" priority="241" bottom="1" rank="1"/>
  </conditionalFormatting>
  <conditionalFormatting sqref="AS36:AX36">
    <cfRule type="top10" dxfId="177" priority="240" bottom="1" rank="1"/>
  </conditionalFormatting>
  <conditionalFormatting sqref="AT4:AT33">
    <cfRule type="top10" dxfId="176" priority="256" bottom="1" rank="1"/>
    <cfRule type="top10" dxfId="175" priority="257" rank="1"/>
  </conditionalFormatting>
  <conditionalFormatting sqref="AU4:AU33">
    <cfRule type="top10" dxfId="174" priority="254" bottom="1" rank="1"/>
    <cfRule type="top10" dxfId="173" priority="255" rank="1"/>
  </conditionalFormatting>
  <conditionalFormatting sqref="AW4:AW33">
    <cfRule type="top10" dxfId="172" priority="148" bottom="1" rank="1"/>
    <cfRule type="top10" dxfId="171" priority="149" rank="1"/>
  </conditionalFormatting>
  <conditionalFormatting sqref="BA4:BA33">
    <cfRule type="top10" dxfId="170" priority="251" bottom="1" rank="1"/>
    <cfRule type="top10" dxfId="169" priority="252" rank="1"/>
  </conditionalFormatting>
  <conditionalFormatting sqref="BA34:BF34">
    <cfRule type="top10" dxfId="168" priority="244" bottom="1" rank="1"/>
  </conditionalFormatting>
  <conditionalFormatting sqref="BA35:BF35">
    <cfRule type="top10" dxfId="167" priority="239" bottom="1" rank="1"/>
  </conditionalFormatting>
  <conditionalFormatting sqref="BA36:BF36">
    <cfRule type="top10" dxfId="166" priority="238" bottom="1" rank="1"/>
  </conditionalFormatting>
  <conditionalFormatting sqref="BB4:BB33">
    <cfRule type="top10" dxfId="165" priority="249" bottom="1" rank="1"/>
    <cfRule type="top10" dxfId="164" priority="250" rank="1"/>
  </conditionalFormatting>
  <conditionalFormatting sqref="BC4:BC33">
    <cfRule type="top10" dxfId="163" priority="247" bottom="1" rank="1"/>
    <cfRule type="top10" dxfId="162" priority="248" rank="1"/>
  </conditionalFormatting>
  <conditionalFormatting sqref="BE4:BE33">
    <cfRule type="top10" dxfId="161" priority="146" bottom="1" rank="1"/>
    <cfRule type="top10" dxfId="160" priority="147" rank="1"/>
  </conditionalFormatting>
  <conditionalFormatting sqref="BO4:BO32">
    <cfRule type="top10" dxfId="159" priority="236" bottom="1" rank="1"/>
    <cfRule type="top10" dxfId="158" priority="237" rank="1"/>
  </conditionalFormatting>
  <conditionalFormatting sqref="BO34:BT34">
    <cfRule type="top10" dxfId="157" priority="231" bottom="1" rank="1"/>
  </conditionalFormatting>
  <conditionalFormatting sqref="BO35:BT35">
    <cfRule type="top10" dxfId="156" priority="214" bottom="1" rank="1"/>
  </conditionalFormatting>
  <conditionalFormatting sqref="BO36:BT36">
    <cfRule type="top10" dxfId="155" priority="213" bottom="1" rank="1"/>
  </conditionalFormatting>
  <conditionalFormatting sqref="BP4:BP32">
    <cfRule type="top10" dxfId="154" priority="234" bottom="1" rank="1"/>
    <cfRule type="top10" dxfId="153" priority="235" rank="1"/>
  </conditionalFormatting>
  <conditionalFormatting sqref="BQ4:BQ32">
    <cfRule type="top10" dxfId="152" priority="232" bottom="1" rank="1"/>
    <cfRule type="top10" dxfId="151" priority="233" rank="1"/>
  </conditionalFormatting>
  <conditionalFormatting sqref="BS4:BS32">
    <cfRule type="top10" dxfId="150" priority="144" bottom="1" rank="1"/>
    <cfRule type="top10" dxfId="149" priority="145" rank="1"/>
  </conditionalFormatting>
  <conditionalFormatting sqref="BW4:BW32">
    <cfRule type="top10" dxfId="148" priority="229" bottom="1" rank="1"/>
    <cfRule type="top10" dxfId="147" priority="230" rank="1"/>
  </conditionalFormatting>
  <conditionalFormatting sqref="BW34:CB34">
    <cfRule type="top10" dxfId="146" priority="224" bottom="1" rank="1"/>
  </conditionalFormatting>
  <conditionalFormatting sqref="BW35:CB35">
    <cfRule type="top10" dxfId="145" priority="212" bottom="1" rank="1"/>
  </conditionalFormatting>
  <conditionalFormatting sqref="BW36:CB36">
    <cfRule type="top10" dxfId="144" priority="211" bottom="1" rank="1"/>
  </conditionalFormatting>
  <conditionalFormatting sqref="BX4:BX32">
    <cfRule type="top10" dxfId="143" priority="227" bottom="1" rank="1"/>
    <cfRule type="top10" dxfId="142" priority="228" rank="1"/>
  </conditionalFormatting>
  <conditionalFormatting sqref="BY4:BY32">
    <cfRule type="top10" dxfId="141" priority="225" bottom="1" rank="1"/>
    <cfRule type="top10" dxfId="140" priority="226" rank="1"/>
  </conditionalFormatting>
  <conditionalFormatting sqref="CA4:CA32">
    <cfRule type="top10" dxfId="139" priority="142" bottom="1" rank="1"/>
    <cfRule type="top10" dxfId="138" priority="143" rank="1"/>
  </conditionalFormatting>
  <conditionalFormatting sqref="CE4:CE32">
    <cfRule type="top10" dxfId="137" priority="222" bottom="1" rank="1"/>
    <cfRule type="top10" dxfId="136" priority="223" rank="1"/>
  </conditionalFormatting>
  <conditionalFormatting sqref="CE35:CJ35">
    <cfRule type="top10" dxfId="134" priority="210" bottom="1" rank="1"/>
  </conditionalFormatting>
  <conditionalFormatting sqref="CE36:CJ36">
    <cfRule type="top10" dxfId="133" priority="209" bottom="1" rank="1"/>
  </conditionalFormatting>
  <conditionalFormatting sqref="CF4:CF32">
    <cfRule type="top10" dxfId="132" priority="220" bottom="1" rank="1"/>
    <cfRule type="top10" dxfId="131" priority="221" rank="1"/>
  </conditionalFormatting>
  <conditionalFormatting sqref="CG4:CG32">
    <cfRule type="top10" dxfId="130" priority="218" bottom="1" rank="1"/>
    <cfRule type="top10" dxfId="129" priority="219" rank="1"/>
  </conditionalFormatting>
  <conditionalFormatting sqref="CI4:CI32">
    <cfRule type="top10" dxfId="128" priority="140" bottom="1" rank="1"/>
    <cfRule type="top10" dxfId="127" priority="141" rank="1"/>
  </conditionalFormatting>
  <conditionalFormatting sqref="CR4:CR32">
    <cfRule type="top10" dxfId="126" priority="138" bottom="1" rank="1"/>
    <cfRule type="top10" dxfId="125" priority="139" rank="1"/>
  </conditionalFormatting>
  <conditionalFormatting sqref="CR34:CW34">
    <cfRule type="top10" dxfId="124" priority="133" bottom="1" rank="1"/>
  </conditionalFormatting>
  <conditionalFormatting sqref="CR35:CW35">
    <cfRule type="top10" dxfId="123" priority="118" bottom="1" rank="1"/>
  </conditionalFormatting>
  <conditionalFormatting sqref="CR36:CW36">
    <cfRule type="top10" dxfId="122" priority="117" bottom="1" rank="1"/>
  </conditionalFormatting>
  <conditionalFormatting sqref="CS4:CS32">
    <cfRule type="top10" dxfId="121" priority="136" bottom="1" rank="1"/>
    <cfRule type="top10" dxfId="120" priority="137" rank="1"/>
  </conditionalFormatting>
  <conditionalFormatting sqref="CT4:CT32">
    <cfRule type="top10" dxfId="119" priority="134" bottom="1" rank="1"/>
    <cfRule type="top10" dxfId="118" priority="135" rank="1"/>
  </conditionalFormatting>
  <conditionalFormatting sqref="CV4:CV32">
    <cfRule type="top10" dxfId="117" priority="111" bottom="1" rank="1"/>
    <cfRule type="top10" dxfId="116" priority="112" rank="1"/>
  </conditionalFormatting>
  <conditionalFormatting sqref="CZ4:CZ32">
    <cfRule type="top10" dxfId="115" priority="131" bottom="1" rank="1"/>
    <cfRule type="top10" dxfId="114" priority="132" rank="1"/>
  </conditionalFormatting>
  <conditionalFormatting sqref="CZ34:DE34">
    <cfRule type="top10" dxfId="113" priority="126" bottom="1" rank="1"/>
  </conditionalFormatting>
  <conditionalFormatting sqref="CZ35:DE35">
    <cfRule type="top10" dxfId="112" priority="116" bottom="1" rank="1"/>
  </conditionalFormatting>
  <conditionalFormatting sqref="CZ36:DE36">
    <cfRule type="top10" dxfId="111" priority="115" bottom="1" rank="1"/>
  </conditionalFormatting>
  <conditionalFormatting sqref="DA4:DA32">
    <cfRule type="top10" dxfId="110" priority="129" bottom="1" rank="1"/>
    <cfRule type="top10" dxfId="109" priority="130" rank="1"/>
  </conditionalFormatting>
  <conditionalFormatting sqref="DB4:DB32">
    <cfRule type="top10" dxfId="108" priority="127" bottom="1" rank="1"/>
    <cfRule type="top10" dxfId="107" priority="128" rank="1"/>
  </conditionalFormatting>
  <conditionalFormatting sqref="DD4:DD32">
    <cfRule type="top10" dxfId="106" priority="109" bottom="1" rank="1"/>
    <cfRule type="top10" dxfId="105" priority="110" rank="1"/>
  </conditionalFormatting>
  <conditionalFormatting sqref="DH4:DH32">
    <cfRule type="top10" dxfId="104" priority="124" bottom="1" rank="1"/>
    <cfRule type="top10" dxfId="103" priority="125" rank="1"/>
  </conditionalFormatting>
  <conditionalFormatting sqref="DH34:DM34">
    <cfRule type="top10" dxfId="102" priority="119" bottom="1" rank="1"/>
  </conditionalFormatting>
  <conditionalFormatting sqref="DH35:DM35">
    <cfRule type="top10" dxfId="101" priority="114" bottom="1" rank="1"/>
  </conditionalFormatting>
  <conditionalFormatting sqref="DH36:DM36">
    <cfRule type="top10" dxfId="100" priority="113" bottom="1" rank="1"/>
  </conditionalFormatting>
  <conditionalFormatting sqref="DI4:DI32">
    <cfRule type="top10" dxfId="99" priority="122" bottom="1" rank="1"/>
    <cfRule type="top10" dxfId="98" priority="123" rank="1"/>
  </conditionalFormatting>
  <conditionalFormatting sqref="DJ4:DJ32">
    <cfRule type="top10" dxfId="97" priority="120" bottom="1" rank="1"/>
    <cfRule type="top10" dxfId="96" priority="121" rank="1"/>
  </conditionalFormatting>
  <conditionalFormatting sqref="DL4:DL32">
    <cfRule type="top10" dxfId="95" priority="107" bottom="1" rank="1"/>
    <cfRule type="top10" dxfId="94" priority="108" rank="1"/>
  </conditionalFormatting>
  <conditionalFormatting sqref="BO74:BO102">
    <cfRule type="top10" dxfId="93" priority="99" bottom="1" rank="1"/>
    <cfRule type="top10" dxfId="92" priority="100" rank="1"/>
  </conditionalFormatting>
  <conditionalFormatting sqref="BO104:BT104">
    <cfRule type="top10" dxfId="91" priority="94" bottom="1" rank="1"/>
  </conditionalFormatting>
  <conditionalFormatting sqref="BO105:BT105">
    <cfRule type="top10" dxfId="90" priority="79" bottom="1" rank="1"/>
  </conditionalFormatting>
  <conditionalFormatting sqref="BO106:BT106">
    <cfRule type="top10" dxfId="89" priority="78" bottom="1" rank="1"/>
  </conditionalFormatting>
  <conditionalFormatting sqref="BP84:BP102">
    <cfRule type="top10" dxfId="88" priority="97" bottom="1" rank="1"/>
    <cfRule type="top10" dxfId="87" priority="98" rank="1"/>
  </conditionalFormatting>
  <conditionalFormatting sqref="BS74:BS102">
    <cfRule type="top10" dxfId="86" priority="72" bottom="1" rank="1"/>
    <cfRule type="top10" dxfId="85" priority="73" rank="1"/>
  </conditionalFormatting>
  <conditionalFormatting sqref="BW74:BW102">
    <cfRule type="top10" dxfId="84" priority="92" bottom="1" rank="1"/>
    <cfRule type="top10" dxfId="83" priority="93" rank="1"/>
  </conditionalFormatting>
  <conditionalFormatting sqref="BW104:CB104">
    <cfRule type="top10" dxfId="82" priority="87" bottom="1" rank="1"/>
  </conditionalFormatting>
  <conditionalFormatting sqref="BW105:CB105">
    <cfRule type="top10" dxfId="81" priority="77" bottom="1" rank="1"/>
  </conditionalFormatting>
  <conditionalFormatting sqref="BW106:CB106">
    <cfRule type="top10" dxfId="80" priority="76" bottom="1" rank="1"/>
  </conditionalFormatting>
  <conditionalFormatting sqref="BX84:BX102">
    <cfRule type="top10" dxfId="79" priority="90" bottom="1" rank="1"/>
    <cfRule type="top10" dxfId="78" priority="91" rank="1"/>
  </conditionalFormatting>
  <conditionalFormatting sqref="CA74:CA102">
    <cfRule type="top10" dxfId="77" priority="70" bottom="1" rank="1"/>
    <cfRule type="top10" dxfId="76" priority="71" rank="1"/>
  </conditionalFormatting>
  <conditionalFormatting sqref="CE74:CE102">
    <cfRule type="top10" dxfId="75" priority="85" bottom="1" rank="1"/>
    <cfRule type="top10" dxfId="74" priority="86" rank="1"/>
  </conditionalFormatting>
  <conditionalFormatting sqref="CE104:CJ104">
    <cfRule type="top10" dxfId="73" priority="80" bottom="1" rank="1"/>
  </conditionalFormatting>
  <conditionalFormatting sqref="CE105:CJ105">
    <cfRule type="top10" dxfId="72" priority="75" bottom="1" rank="1"/>
  </conditionalFormatting>
  <conditionalFormatting sqref="CE106:CJ106">
    <cfRule type="top10" dxfId="71" priority="74" bottom="1" rank="1"/>
  </conditionalFormatting>
  <conditionalFormatting sqref="CF84:CF102">
    <cfRule type="top10" dxfId="70" priority="83" bottom="1" rank="1"/>
    <cfRule type="top10" dxfId="69" priority="84" rank="1"/>
  </conditionalFormatting>
  <conditionalFormatting sqref="CI74:CI102">
    <cfRule type="top10" dxfId="68" priority="68" bottom="1" rank="1"/>
    <cfRule type="top10" dxfId="67" priority="69" rank="1"/>
  </conditionalFormatting>
  <conditionalFormatting sqref="CS75:CS103">
    <cfRule type="top10" dxfId="66" priority="66" bottom="1" rank="1"/>
    <cfRule type="top10" dxfId="65" priority="67" rank="1"/>
  </conditionalFormatting>
  <conditionalFormatting sqref="CS105:CX105">
    <cfRule type="top10" dxfId="64" priority="61" bottom="1" rank="1"/>
  </conditionalFormatting>
  <conditionalFormatting sqref="CS106:CX106">
    <cfRule type="top10" dxfId="63" priority="46" bottom="1" rank="1"/>
  </conditionalFormatting>
  <conditionalFormatting sqref="CS107:CX107">
    <cfRule type="top10" dxfId="62" priority="45" bottom="1" rank="1"/>
  </conditionalFormatting>
  <conditionalFormatting sqref="CT75:CT103">
    <cfRule type="top10" dxfId="61" priority="64" bottom="1" rank="1"/>
    <cfRule type="top10" dxfId="60" priority="65" rank="1"/>
  </conditionalFormatting>
  <conditionalFormatting sqref="CU75:CU103">
    <cfRule type="top10" dxfId="59" priority="62" bottom="1" rank="1"/>
    <cfRule type="top10" dxfId="58" priority="63" rank="1"/>
  </conditionalFormatting>
  <conditionalFormatting sqref="CW75:CW103">
    <cfRule type="top10" dxfId="57" priority="39" bottom="1" rank="1"/>
    <cfRule type="top10" dxfId="56" priority="40" rank="1"/>
  </conditionalFormatting>
  <conditionalFormatting sqref="DA75:DA103">
    <cfRule type="top10" dxfId="55" priority="59" bottom="1" rank="1"/>
    <cfRule type="top10" dxfId="54" priority="60" rank="1"/>
  </conditionalFormatting>
  <conditionalFormatting sqref="DA105:DF105">
    <cfRule type="top10" dxfId="53" priority="54" bottom="1" rank="1"/>
  </conditionalFormatting>
  <conditionalFormatting sqref="DA106:DF106">
    <cfRule type="top10" dxfId="52" priority="44" bottom="1" rank="1"/>
  </conditionalFormatting>
  <conditionalFormatting sqref="DA107:DF107">
    <cfRule type="top10" dxfId="51" priority="43" bottom="1" rank="1"/>
  </conditionalFormatting>
  <conditionalFormatting sqref="DB75:DB103">
    <cfRule type="top10" dxfId="50" priority="57" bottom="1" rank="1"/>
    <cfRule type="top10" dxfId="49" priority="58" rank="1"/>
  </conditionalFormatting>
  <conditionalFormatting sqref="DC75:DC103">
    <cfRule type="top10" dxfId="48" priority="55" bottom="1" rank="1"/>
    <cfRule type="top10" dxfId="47" priority="56" rank="1"/>
  </conditionalFormatting>
  <conditionalFormatting sqref="DE75:DE103">
    <cfRule type="top10" dxfId="46" priority="37" bottom="1" rank="1"/>
    <cfRule type="top10" dxfId="45" priority="38" rank="1"/>
  </conditionalFormatting>
  <conditionalFormatting sqref="DI75:DI103">
    <cfRule type="top10" dxfId="44" priority="52" bottom="1" rank="1"/>
    <cfRule type="top10" dxfId="43" priority="53" rank="1"/>
  </conditionalFormatting>
  <conditionalFormatting sqref="DI105:DN105">
    <cfRule type="top10" dxfId="42" priority="47" bottom="1" rank="1"/>
  </conditionalFormatting>
  <conditionalFormatting sqref="DI106:DN106">
    <cfRule type="top10" dxfId="41" priority="42" bottom="1" rank="1"/>
  </conditionalFormatting>
  <conditionalFormatting sqref="DI107:DN107">
    <cfRule type="top10" dxfId="40" priority="41" bottom="1" rank="1"/>
  </conditionalFormatting>
  <conditionalFormatting sqref="DJ75:DJ103">
    <cfRule type="top10" dxfId="39" priority="50" bottom="1" rank="1"/>
    <cfRule type="top10" dxfId="38" priority="51" rank="1"/>
  </conditionalFormatting>
  <conditionalFormatting sqref="DK75:DK103">
    <cfRule type="top10" dxfId="37" priority="48" bottom="1" rank="1"/>
    <cfRule type="top10" dxfId="36" priority="49" rank="1"/>
  </conditionalFormatting>
  <conditionalFormatting sqref="DM75:DM103">
    <cfRule type="top10" dxfId="35" priority="35" bottom="1" rank="1"/>
    <cfRule type="top10" dxfId="34" priority="36" rank="1"/>
  </conditionalFormatting>
  <conditionalFormatting sqref="DU4:DU32">
    <cfRule type="top10" dxfId="33" priority="33" bottom="1" rank="1"/>
    <cfRule type="top10" dxfId="32" priority="34" rank="1"/>
  </conditionalFormatting>
  <conditionalFormatting sqref="DU34:DZ34">
    <cfRule type="top10" dxfId="31" priority="28" bottom="1" rank="1"/>
  </conditionalFormatting>
  <conditionalFormatting sqref="DU35:DZ35">
    <cfRule type="top10" dxfId="30" priority="13" bottom="1" rank="1"/>
  </conditionalFormatting>
  <conditionalFormatting sqref="DU36:DZ36">
    <cfRule type="top10" dxfId="29" priority="12" bottom="1" rank="1"/>
  </conditionalFormatting>
  <conditionalFormatting sqref="DV4:DV32">
    <cfRule type="top10" dxfId="28" priority="31" bottom="1" rank="1"/>
    <cfRule type="top10" dxfId="27" priority="32" rank="1"/>
  </conditionalFormatting>
  <conditionalFormatting sqref="DW4:DW32">
    <cfRule type="top10" dxfId="26" priority="29" bottom="1" rank="1"/>
    <cfRule type="top10" dxfId="25" priority="30" rank="1"/>
  </conditionalFormatting>
  <conditionalFormatting sqref="DY4:DY32">
    <cfRule type="top10" dxfId="24" priority="6" bottom="1" rank="1"/>
    <cfRule type="top10" dxfId="23" priority="7" rank="1"/>
  </conditionalFormatting>
  <conditionalFormatting sqref="EC4:EC32">
    <cfRule type="top10" dxfId="22" priority="26" bottom="1" rank="1"/>
    <cfRule type="top10" dxfId="21" priority="27" rank="1"/>
  </conditionalFormatting>
  <conditionalFormatting sqref="EC34:EH34">
    <cfRule type="top10" dxfId="20" priority="21" bottom="1" rank="1"/>
  </conditionalFormatting>
  <conditionalFormatting sqref="EC35:EH35">
    <cfRule type="top10" dxfId="19" priority="11" bottom="1" rank="1"/>
  </conditionalFormatting>
  <conditionalFormatting sqref="EC36:EH36">
    <cfRule type="top10" dxfId="18" priority="10" bottom="1" rank="1"/>
  </conditionalFormatting>
  <conditionalFormatting sqref="ED4:ED32">
    <cfRule type="top10" dxfId="17" priority="24" bottom="1" rank="1"/>
    <cfRule type="top10" dxfId="16" priority="25" rank="1"/>
  </conditionalFormatting>
  <conditionalFormatting sqref="EE4:EE32">
    <cfRule type="top10" dxfId="15" priority="22" bottom="1" rank="1"/>
    <cfRule type="top10" dxfId="14" priority="23" rank="1"/>
  </conditionalFormatting>
  <conditionalFormatting sqref="EG4:EG32">
    <cfRule type="top10" dxfId="13" priority="4" bottom="1" rank="1"/>
    <cfRule type="top10" dxfId="12" priority="5" rank="1"/>
  </conditionalFormatting>
  <conditionalFormatting sqref="EK4:EK32">
    <cfRule type="top10" dxfId="11" priority="19" bottom="1" rank="1"/>
    <cfRule type="top10" dxfId="10" priority="20" rank="1"/>
  </conditionalFormatting>
  <conditionalFormatting sqref="EK34:EP34">
    <cfRule type="top10" dxfId="9" priority="14" bottom="1" rank="1"/>
  </conditionalFormatting>
  <conditionalFormatting sqref="EK35:EP35">
    <cfRule type="top10" dxfId="8" priority="9" bottom="1" rank="1"/>
  </conditionalFormatting>
  <conditionalFormatting sqref="EK36:EP36">
    <cfRule type="top10" dxfId="7" priority="8" bottom="1" rank="1"/>
  </conditionalFormatting>
  <conditionalFormatting sqref="EL4:EL32">
    <cfRule type="top10" dxfId="6" priority="17" bottom="1" rank="1"/>
    <cfRule type="top10" dxfId="5" priority="18" rank="1"/>
  </conditionalFormatting>
  <conditionalFormatting sqref="EM4:EM32">
    <cfRule type="top10" dxfId="4" priority="15" bottom="1" rank="1"/>
    <cfRule type="top10" dxfId="3" priority="16" rank="1"/>
  </conditionalFormatting>
  <conditionalFormatting sqref="EO4:EO32">
    <cfRule type="top10" dxfId="2" priority="2" bottom="1" rank="1"/>
    <cfRule type="top10" dxfId="1" priority="3" rank="1"/>
  </conditionalFormatting>
  <conditionalFormatting sqref="CE34:CJ34">
    <cfRule type="top10" dxfId="0" priority="1" bottom="1" rank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2026-04-17T08:15:22Z</dcterms:modified>
</cp:coreProperties>
</file>